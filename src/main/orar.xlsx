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a" sheetId="1" r:id="rId4"/>
    <sheet state="visible" name="1r" sheetId="2" r:id="rId5"/>
    <sheet state="visible" name="1e" sheetId="3" r:id="rId6"/>
    <sheet state="visible" name="2r" sheetId="4" r:id="rId7"/>
    <sheet state="visible" name="2e" sheetId="5" r:id="rId8"/>
    <sheet state="visible" name="3r" sheetId="6" r:id="rId9"/>
    <sheet state="visible" name="3e" sheetId="7" r:id="rId10"/>
    <sheet state="visible" name="4r" sheetId="8" r:id="rId11"/>
    <sheet state="visible" name="4e" sheetId="9" r:id="rId12"/>
    <sheet state="visible" name="1M" sheetId="10" r:id="rId13"/>
    <sheet state="visible" name="2M" sheetId="11" r:id="rId14"/>
    <sheet state="visible" name="1MC" sheetId="12" r:id="rId15"/>
    <sheet state="visible" name="2MC" sheetId="13" r:id="rId16"/>
  </sheets>
  <definedNames/>
  <calcPr/>
</workbook>
</file>

<file path=xl/sharedStrings.xml><?xml version="1.0" encoding="utf-8"?>
<sst xmlns="http://schemas.openxmlformats.org/spreadsheetml/2006/main" count="1587" uniqueCount="589">
  <si>
    <t>LEGENDA SĂLILOR - secțiile Calculatoare și Tehnologia Informației</t>
  </si>
  <si>
    <t>Site-ul UTCN</t>
  </si>
  <si>
    <t>UTCN Web Page</t>
  </si>
  <si>
    <t>Sălile 202 - 214 (lab)</t>
  </si>
  <si>
    <t>cladirea AC Observator etaj 2</t>
  </si>
  <si>
    <t>2 Observatorului Street 2nd floor</t>
  </si>
  <si>
    <t>2 Observatorului Street 2nd floor (https://goo.gl/maps/ePHbZLVs8tU51jhG9)</t>
  </si>
  <si>
    <t>Sala 206 P (Pedagogie)</t>
  </si>
  <si>
    <t>cladirea Daicoviciu, cladirea turn</t>
  </si>
  <si>
    <t>15 Daicoviciu Street, tower building</t>
  </si>
  <si>
    <t>Salile BT</t>
  </si>
  <si>
    <t>BT 5.01, BT 5.02, BT 5.03, BT 5.04, BT 5.05</t>
  </si>
  <si>
    <t>str. George Barițiu nr. 8 (fosta Banca Transilvania), etaj 5</t>
  </si>
  <si>
    <t>8 Gh. Baritiu Street, 5th floor (https://maps.app.goo.gl/cfDqygRsrnyKUTrr7)</t>
  </si>
  <si>
    <t>BT 7.02</t>
  </si>
  <si>
    <t>str. George Barițiu nr. 8 (fosta BT), etaj 7</t>
  </si>
  <si>
    <t>8 Gh. Baritiu Street, 7th floor (https://maps.app.goo.gl/cfDqygRsrnyKUTrr7)</t>
  </si>
  <si>
    <t>Sălile 40, F, 356, 359</t>
  </si>
  <si>
    <t>cladirea AC str. Baritiu 26-28</t>
  </si>
  <si>
    <t>26-28 Gh. Baritiu Street (https://goo.gl/maps/NuHRYdENaUVgA7Kk6)</t>
  </si>
  <si>
    <t>45, E15, E17, D21, D11, D12, 16B</t>
  </si>
  <si>
    <t>Sala P03</t>
  </si>
  <si>
    <t>cladirea AC noua (Sport) str. Baritiu 28</t>
  </si>
  <si>
    <t>26-28 Gh. Baritiu Street, the building inside the backyard (https://goo.gl/maps/NuHRYdENaUVgA7Kk6)</t>
  </si>
  <si>
    <t>Salile H11, H21, H01, H41</t>
  </si>
  <si>
    <t>cladirea spate-dreapta str. Baritiu 28</t>
  </si>
  <si>
    <t>Salile</t>
  </si>
  <si>
    <t>A2, B2</t>
  </si>
  <si>
    <t>Baritiu 25 (Constructii)</t>
  </si>
  <si>
    <t>25 Gh. Baritiu Street</t>
  </si>
  <si>
    <t>211LS si 216LS limbi straine</t>
  </si>
  <si>
    <t>197, Lab Fizica (192)</t>
  </si>
  <si>
    <t>Sala S4.2</t>
  </si>
  <si>
    <t>Barițiu 28 (clădirea din spatele sălii P03, et. IV, sala de lângă lift)</t>
  </si>
  <si>
    <t>26-28 Gh. Baritiu Street</t>
  </si>
  <si>
    <t>28 Baritiu st, the building behing room P03</t>
  </si>
  <si>
    <t>Sălile 26b, 36, 16B</t>
  </si>
  <si>
    <t>cladirea AC str. Baritiu 28</t>
  </si>
  <si>
    <t>28 Baritiu st.</t>
  </si>
  <si>
    <t>Sălile 467, 479</t>
  </si>
  <si>
    <t>cladirea Daicoviciu</t>
  </si>
  <si>
    <t>15 Daicoviciu Street</t>
  </si>
  <si>
    <t>Salile Cluj Hub - Blue, White, Grey, Forest</t>
  </si>
  <si>
    <r>
      <rPr>
        <rFont val="Arial"/>
        <color rgb="FF000000"/>
        <sz val="11.0"/>
      </rPr>
      <t xml:space="preserve">Magazinul Central Et 3 Str Regele Ferdinand 20, intrarea se face prin dreapta (pe scari)     </t>
    </r>
    <r>
      <rPr>
        <rFont val="Arial"/>
        <color rgb="FFFF0000"/>
        <sz val="11.0"/>
      </rPr>
      <t>In timpul pauzelor, studentii sunt rugati sa nu deranjeze activitatea din spatiile de co-work.</t>
    </r>
  </si>
  <si>
    <r>
      <rPr>
        <rFont val="Arial"/>
        <color rgb="FF000000"/>
        <sz val="11.0"/>
      </rPr>
      <t xml:space="preserve">Central Shopping Centre, 20 Ferdinand St, 3rd floor (entry on the right side of the building, via the stairs) </t>
    </r>
    <r>
      <rPr>
        <rFont val="Arial"/>
        <color rgb="FF1155CC"/>
        <sz val="11.0"/>
        <u/>
      </rPr>
      <t>https://g.page/ClujHub?share</t>
    </r>
  </si>
  <si>
    <t>Sala S2 (EM 2)</t>
  </si>
  <si>
    <t>str. Emil Isac, ultimul etaj</t>
  </si>
  <si>
    <t>Emil Isac st, last floor</t>
  </si>
  <si>
    <t>Sălile</t>
  </si>
  <si>
    <t>Aula Instalatii</t>
  </si>
  <si>
    <t>B-dul 21 Decembrie 1989 nr.128-130</t>
  </si>
  <si>
    <t>128-130, 21 Decembrie 1989 Street (https://maps.app.goo.gl/JfY4WHDXX3h59kUX6)</t>
  </si>
  <si>
    <t>Sălile D01, D03, M1, M2, M3, 101-108</t>
  </si>
  <si>
    <t>str. Dorobantilor 71-73</t>
  </si>
  <si>
    <t>71-73 Dorobantilor Street (https://goo.gl/maps/G1JPkvdFMdPTmfUv9)</t>
  </si>
  <si>
    <t>D01, D03 (parter)</t>
  </si>
  <si>
    <t>cladirea din spatele curtii</t>
  </si>
  <si>
    <t>71-73 Dorobantilor Street, the building in the backyard</t>
  </si>
  <si>
    <t>71-73 Dorobantilor Street, the building in the back of the yard</t>
  </si>
  <si>
    <t>M1, M2, M3 (mezanin)</t>
  </si>
  <si>
    <t>101-108 (etaj)</t>
  </si>
  <si>
    <t>Sport</t>
  </si>
  <si>
    <t>Bazin olimpic (Afara)</t>
  </si>
  <si>
    <t>TUCN Swimming Complex, Splaiul Independentei street (https://goo.gl/maps/niczYnokxLy8QmkA7)</t>
  </si>
  <si>
    <t>bazin Olimpic</t>
  </si>
  <si>
    <t>Vă rugăm consultați frecvent orarul în primele săptămâni, pot interveni modificări!!!</t>
  </si>
  <si>
    <t>Notatii:</t>
  </si>
  <si>
    <t xml:space="preserve">Sapt IMPARA / </t>
  </si>
  <si>
    <t>/ Saptamana PARA</t>
  </si>
  <si>
    <t>Notation:</t>
  </si>
  <si>
    <t xml:space="preserve">ODD Week / </t>
  </si>
  <si>
    <t>/ EVEN Week</t>
  </si>
  <si>
    <t>ORAR       An 1 CTI (Calculatoare) romana -  Semestrul 1  -  Anul universitar 2025/2026</t>
  </si>
  <si>
    <t>Grupa restantieri</t>
  </si>
  <si>
    <t>Luni</t>
  </si>
  <si>
    <t>08-10</t>
  </si>
  <si>
    <t>PL 204</t>
  </si>
  <si>
    <t>PC 205</t>
  </si>
  <si>
    <t>AM (s) - BT 5.01</t>
  </si>
  <si>
    <t>Fizica(L) 192 / Fizica(L) 192</t>
  </si>
  <si>
    <t>Matematici speciale I (MS) - M. Rus - P03</t>
  </si>
  <si>
    <t>10-12</t>
  </si>
  <si>
    <t>Algebră liniară si geometrie analitica (AL) - V. Pop - P03</t>
  </si>
  <si>
    <t>12-14</t>
  </si>
  <si>
    <t>Limbi straine BT 5.01</t>
  </si>
  <si>
    <t>Limbi straine E17</t>
  </si>
  <si>
    <t>Fizica (F) - T. Petrisor - P03</t>
  </si>
  <si>
    <t>14-16</t>
  </si>
  <si>
    <t>Limbi straine BT 7.02</t>
  </si>
  <si>
    <t>PC (s) - BT 5.02        /</t>
  </si>
  <si>
    <t>/       PC (s) - BT 5.02</t>
  </si>
  <si>
    <t>Limbi straine 467</t>
  </si>
  <si>
    <t>16-18</t>
  </si>
  <si>
    <t>18-20</t>
  </si>
  <si>
    <t>20-22</t>
  </si>
  <si>
    <t>Marti</t>
  </si>
  <si>
    <t>Algebră liniară si geometrie analitica (AL) -  D. Cimpean - D01</t>
  </si>
  <si>
    <t>AL (s) - 467</t>
  </si>
  <si>
    <t>MS (s) - BT 5.02</t>
  </si>
  <si>
    <t>Calcul diferential (AM) - A. Novac - D01</t>
  </si>
  <si>
    <t>AM (s) - BT 7.02</t>
  </si>
  <si>
    <t>AL (s) - E17</t>
  </si>
  <si>
    <t>Programarea calculatoarelor (PC) - I. Giosan - D01</t>
  </si>
  <si>
    <t>AL (s) - D12</t>
  </si>
  <si>
    <t>MS (s) - BT 7.02</t>
  </si>
  <si>
    <t>AM (s) - 467</t>
  </si>
  <si>
    <t>PC (s) - M2        /</t>
  </si>
  <si>
    <t>/       PC (s) - M2</t>
  </si>
  <si>
    <t>AM (s) - M1</t>
  </si>
  <si>
    <t xml:space="preserve">/       PC (s) - M2 </t>
  </si>
  <si>
    <t>Miercuri</t>
  </si>
  <si>
    <t>MS (s) - E15</t>
  </si>
  <si>
    <t>PC 213</t>
  </si>
  <si>
    <t>Psihologia Educatiei - G. Trif - H11</t>
  </si>
  <si>
    <t>Joi</t>
  </si>
  <si>
    <t>AM (s) - BT 5.02</t>
  </si>
  <si>
    <t>Proiectare logica (PL) - D.F. Lisman- Aula Instalatii</t>
  </si>
  <si>
    <t>Limbi straine M1</t>
  </si>
  <si>
    <t>Calcul diferential  (AM) - A. Sintamarian - Aula Instalatii</t>
  </si>
  <si>
    <t>MS (s) - 467</t>
  </si>
  <si>
    <t>/       PC (s) - E15</t>
  </si>
  <si>
    <t>Programarea calculatoarelor (PC) - I. Costin - Aula Instalatii</t>
  </si>
  <si>
    <t xml:space="preserve"> Matematici speciale I (MS) - D. Rosca - P03</t>
  </si>
  <si>
    <t>Proiectare logica (PL) - C. Vancea - P03</t>
  </si>
  <si>
    <t xml:space="preserve"> Fizica (F) - M. Gabor - P03</t>
  </si>
  <si>
    <t>Vineri</t>
  </si>
  <si>
    <t>AM (s) - D11</t>
  </si>
  <si>
    <t>AL (s) - BT 5.02</t>
  </si>
  <si>
    <t>AM (s) - D12</t>
  </si>
  <si>
    <t>Fizica(L) 192 /</t>
  </si>
  <si>
    <r>
      <rPr>
        <rFont val="Arial"/>
        <sz val="10.0"/>
      </rPr>
      <t xml:space="preserve">Opțiuni limbă străină </t>
    </r>
    <r>
      <rPr>
        <rFont val="Arial"/>
        <b/>
        <sz val="10.0"/>
      </rPr>
      <t>seria A</t>
    </r>
    <r>
      <rPr>
        <rFont val="Arial"/>
        <sz val="10.0"/>
      </rPr>
      <t xml:space="preserve">: </t>
    </r>
    <r>
      <rPr>
        <rFont val="Arial"/>
        <color rgb="FF1155CC"/>
        <sz val="10.0"/>
        <u/>
      </rPr>
      <t>https://forms.office.com/e/hTMuYEizZQ</t>
    </r>
  </si>
  <si>
    <r>
      <rPr>
        <rFont val="Arial"/>
        <sz val="10.0"/>
      </rPr>
      <t xml:space="preserve">Opțiuni limbă străină </t>
    </r>
    <r>
      <rPr>
        <rFont val="Arial"/>
        <b/>
        <sz val="10.0"/>
      </rPr>
      <t>seria B</t>
    </r>
    <r>
      <rPr>
        <rFont val="Arial"/>
        <sz val="10.0"/>
      </rPr>
      <t xml:space="preserve">: </t>
    </r>
    <r>
      <rPr>
        <rFont val="Arial"/>
        <color rgb="FF1155CC"/>
        <sz val="10.0"/>
        <u/>
      </rPr>
      <t>https://forms.office.com/e/bQq2z0SHDG</t>
    </r>
    <r>
      <rPr>
        <rFont val="Arial"/>
        <sz val="10.0"/>
      </rPr>
      <t xml:space="preserve"> </t>
    </r>
  </si>
  <si>
    <r>
      <rPr>
        <rFont val="Arial"/>
        <color rgb="FF000000"/>
        <sz val="10.0"/>
      </rPr>
      <t xml:space="preserve">Sesiunile de </t>
    </r>
    <r>
      <rPr>
        <rFont val="Arial"/>
        <b/>
        <color rgb="FF000000"/>
        <sz val="10.0"/>
      </rPr>
      <t>seminar</t>
    </r>
    <r>
      <rPr>
        <rFont val="Arial"/>
        <color rgb="FF000000"/>
        <sz val="10.0"/>
      </rPr>
      <t xml:space="preserve"> pentru Psihologia Educatiei (alegeti una): marti 14-16, miercuri 12-14 sau 16-18, joi 16-18, in sala </t>
    </r>
    <r>
      <rPr>
        <rFont val="Arial"/>
        <b/>
        <color rgb="FF000000"/>
        <sz val="10.0"/>
      </rPr>
      <t>206, str. Daicoviciu, etaj 2</t>
    </r>
  </si>
  <si>
    <t>19 sept. 2014 ora 20:00</t>
  </si>
  <si>
    <t>Schedule of classes 1st Year Computer Science english -  1st Semester   -  Academic Year 2025/2026</t>
  </si>
  <si>
    <t>Monday</t>
  </si>
  <si>
    <t>Physics (P) - R. Fechete - D03</t>
  </si>
  <si>
    <t xml:space="preserve"> /                 CP (s) - M1</t>
  </si>
  <si>
    <t>Special mathematics I (SM) -  D. Rosca - D03</t>
  </si>
  <si>
    <t>AL (s) - M2</t>
  </si>
  <si>
    <t>Computer programming (PC) - R. Varga - D03</t>
  </si>
  <si>
    <t>SM (s) - M1</t>
  </si>
  <si>
    <t>AL(s) - M2</t>
  </si>
  <si>
    <t>CP (s) - M1                     /</t>
  </si>
  <si>
    <t xml:space="preserve"> /        CP (s) - M1</t>
  </si>
  <si>
    <t>Phys(L) 192  /  Phys(L) 192</t>
  </si>
  <si>
    <t>Tuesday</t>
  </si>
  <si>
    <t>AL(s) - E15</t>
  </si>
  <si>
    <t>SM (s) - D12</t>
  </si>
  <si>
    <t>AL (s) - BT 7.01</t>
  </si>
  <si>
    <t>Foreign Languages (s) - EM2</t>
  </si>
  <si>
    <t>Foreign Languages (s) - E15</t>
  </si>
  <si>
    <t>Foreign Languages (s) - BT 5.02</t>
  </si>
  <si>
    <t>LD 204</t>
  </si>
  <si>
    <t>CP 205</t>
  </si>
  <si>
    <t>Wednesday</t>
  </si>
  <si>
    <t>AL (s) - M3</t>
  </si>
  <si>
    <t>AM (s) - M2</t>
  </si>
  <si>
    <t>AM-I (Differential calculus) (AM) - D. Popa - D03</t>
  </si>
  <si>
    <t>Computer programming (PC) - M. Joldos - D03</t>
  </si>
  <si>
    <t>Educational Psychology - G. Trif - H11</t>
  </si>
  <si>
    <t>Thursday</t>
  </si>
  <si>
    <t>Linear algebra and analytical geometry (AL) - R. Peter - D03</t>
  </si>
  <si>
    <t>Foreign Languages (s) - 467</t>
  </si>
  <si>
    <t xml:space="preserve"> </t>
  </si>
  <si>
    <t>Logic design (LD) - F. Lisman - D03</t>
  </si>
  <si>
    <t>AM-I (Differential calculus) (AM) - D. Inoan - D03</t>
  </si>
  <si>
    <t>Foreign Languages (s) - M1</t>
  </si>
  <si>
    <t>AM (s) - M3</t>
  </si>
  <si>
    <t>20-21</t>
  </si>
  <si>
    <t>Friday</t>
  </si>
  <si>
    <t>LD 211</t>
  </si>
  <si>
    <t xml:space="preserve">Please fill in the form for the foreign language options, here: </t>
  </si>
  <si>
    <r>
      <rPr>
        <rFont val="Arial"/>
        <color rgb="FF000000"/>
        <sz val="10.0"/>
      </rPr>
      <t xml:space="preserve">Options for the </t>
    </r>
    <r>
      <rPr>
        <rFont val="Arial"/>
        <b/>
        <color rgb="FF000000"/>
        <sz val="10.0"/>
      </rPr>
      <t>seminar</t>
    </r>
    <r>
      <rPr>
        <rFont val="Arial"/>
        <color rgb="FF000000"/>
        <sz val="10.0"/>
      </rPr>
      <t xml:space="preserve"> sessions for Educational Psychology (choose one): TUE 14-16, WED 12-14 or 16-18, THU 16-18, in room </t>
    </r>
    <r>
      <rPr>
        <rFont val="Arial"/>
        <b/>
        <color rgb="FF000000"/>
        <sz val="10.0"/>
      </rPr>
      <t>206, Daicoviciu st., 2nd floor</t>
    </r>
  </si>
  <si>
    <t>ORAR       An 2 CTI (Calculatoare) romana -  Semestrul 1  -  Anul universitar 2025/2026</t>
  </si>
  <si>
    <t>POO 206</t>
  </si>
  <si>
    <t>CAN 207</t>
  </si>
  <si>
    <t>AF 212</t>
  </si>
  <si>
    <t>Limba engleza - S. Munteanu - 40</t>
  </si>
  <si>
    <t>BD 214</t>
  </si>
  <si>
    <t>Circuite analogice si numerice (CAN) - A. Peculea - 40</t>
  </si>
  <si>
    <t>Matematici speciale in inginerie (MSI) - I. Gavrea - 40</t>
  </si>
  <si>
    <t>AF 202</t>
  </si>
  <si>
    <t>MES H01/</t>
  </si>
  <si>
    <t>/ MES H01</t>
  </si>
  <si>
    <t>POO 209</t>
  </si>
  <si>
    <r>
      <rPr>
        <rFont val="Arial"/>
        <b/>
        <color rgb="FF000000"/>
        <sz val="7.0"/>
      </rPr>
      <t xml:space="preserve">Baze de date (BD) - </t>
    </r>
    <r>
      <rPr>
        <rFont val="Arial"/>
        <b/>
        <color rgb="FF000000"/>
        <sz val="7.0"/>
      </rPr>
      <t xml:space="preserve">C. Cenan </t>
    </r>
    <r>
      <rPr>
        <rFont val="Arial"/>
        <b/>
        <color rgb="FF000000"/>
        <sz val="7.0"/>
      </rPr>
      <t>- 40</t>
    </r>
  </si>
  <si>
    <t>BD 210</t>
  </si>
  <si>
    <t>POO 202</t>
  </si>
  <si>
    <t>Algoritmi fundamentali (AF) - C. Lemnaru, C. Oprisa - 40</t>
  </si>
  <si>
    <t>/ AF (s) - 467</t>
  </si>
  <si>
    <t xml:space="preserve">AF (s) - 467 /      </t>
  </si>
  <si>
    <t>Baze de date (BD) - G. Dragomir - 40</t>
  </si>
  <si>
    <t>AF 213</t>
  </si>
  <si>
    <t xml:space="preserve">Germana - </t>
  </si>
  <si>
    <t>- M. Tripon - E15</t>
  </si>
  <si>
    <t>Limba engleza - C. Policsek - H21</t>
  </si>
  <si>
    <t xml:space="preserve">AF (s) - 202 /     </t>
  </si>
  <si>
    <t>/     AF (s) M2</t>
  </si>
  <si>
    <t>CAN 213</t>
  </si>
  <si>
    <t>MSI (s) -  BT 7.02</t>
  </si>
  <si>
    <t>MSI (s) - BT 5.02</t>
  </si>
  <si>
    <t>AF (s) 202      /</t>
  </si>
  <si>
    <t xml:space="preserve"> /    AF (s) 202</t>
  </si>
  <si>
    <t xml:space="preserve">AF (s) 202      / </t>
  </si>
  <si>
    <t>Programare orientata obiect (POO) - R. Brehar - 40</t>
  </si>
  <si>
    <t>MSI (s) - BT 7.02</t>
  </si>
  <si>
    <t>Algoritmi fundamentali (AF) - R. Portase - 40</t>
  </si>
  <si>
    <t>MSI (s) -  BT 5.01</t>
  </si>
  <si>
    <t>AF (s) - E15 /</t>
  </si>
  <si>
    <t>/ AF (s) - E15</t>
  </si>
  <si>
    <t>Matematici speciale in inginerie (MSI) - A. Mitrea - 40</t>
  </si>
  <si>
    <t>Masurari electronice si senzori (MES) - R. Munteanu - F</t>
  </si>
  <si>
    <t>Programare orientata obiect (POO) - I. Giosan - 40</t>
  </si>
  <si>
    <t>Masurari electronice si senzori (MES) - R. Munteanu - 40</t>
  </si>
  <si>
    <t>Introduction in Quantum Machine Learning (C+S) - 40</t>
  </si>
  <si>
    <t>MSI (s) - E15</t>
  </si>
  <si>
    <t>Franceza - A. Forna - D21</t>
  </si>
  <si>
    <r>
      <rPr>
        <rFont val="Arial"/>
        <color rgb="FF000000"/>
        <sz val="10.0"/>
      </rPr>
      <t xml:space="preserve">Pentru cursul de </t>
    </r>
    <r>
      <rPr>
        <rFont val="Arial"/>
        <b/>
        <color rgb="FF000000"/>
        <sz val="10.0"/>
      </rPr>
      <t>Pedagogie</t>
    </r>
    <r>
      <rPr>
        <rFont val="Arial"/>
        <color rgb="FF000000"/>
        <sz val="10.0"/>
      </rPr>
      <t xml:space="preserve">, optiunile sunt (alegeti una): </t>
    </r>
    <r>
      <rPr>
        <rFont val="Arial"/>
        <b/>
        <color rgb="FF000000"/>
        <sz val="10.0"/>
      </rPr>
      <t xml:space="preserve">JOI </t>
    </r>
    <r>
      <rPr>
        <rFont val="Arial"/>
        <color rgb="FF000000"/>
        <sz val="10.0"/>
      </rPr>
      <t xml:space="preserve">10-12 sau 12-14 sau 14-16.  Sala </t>
    </r>
    <r>
      <rPr>
        <rFont val="Arial"/>
        <b/>
        <color rgb="FF000000"/>
        <sz val="10.0"/>
      </rPr>
      <t>206, Daicoviciu, etaj II</t>
    </r>
  </si>
  <si>
    <t>C</t>
  </si>
  <si>
    <t>Schedule of classes 2nd Year Computer Science english -  1st Semester   -  Academic Year  2025/2026</t>
  </si>
  <si>
    <t>Analog and digital circuits (ADC) - B. Iancu - D01</t>
  </si>
  <si>
    <t>ADC 210</t>
  </si>
  <si>
    <t>OOP 209</t>
  </si>
  <si>
    <t>Object oriented programming (OOP) - M. Joldos - D01</t>
  </si>
  <si>
    <t>SME (s) - M3</t>
  </si>
  <si>
    <t>Fundamental algorithms (FA) - R. Potolea - D01</t>
  </si>
  <si>
    <t>FA (s) - M2      /</t>
  </si>
  <si>
    <t>/        FA (s) - M2</t>
  </si>
  <si>
    <t>English (E) -  M. Negoescu - D03</t>
  </si>
  <si>
    <t xml:space="preserve">EMS H41/         </t>
  </si>
  <si>
    <t>/    EMS H41</t>
  </si>
  <si>
    <t>DB 214</t>
  </si>
  <si>
    <t>ADC 207</t>
  </si>
  <si>
    <t xml:space="preserve"> Germana - M. Tripon - E15</t>
  </si>
  <si>
    <t>FA 212</t>
  </si>
  <si>
    <t>Electronic meas. and sensors (EMS) - R. Holonec - D21</t>
  </si>
  <si>
    <t>Object oriented programming (OOP) - M. Joldos - 40</t>
  </si>
  <si>
    <t>Special math. in engineering (SME) - I. Rasa - D21</t>
  </si>
  <si>
    <t>Fundamental algorithms (FA) - R. Potolea - 40</t>
  </si>
  <si>
    <t>Databases (DB) - C. Cenan - D21</t>
  </si>
  <si>
    <t>Analog and digital circuits (ADC) - B. Iancu - 40</t>
  </si>
  <si>
    <t xml:space="preserve">FA (s) - D12 / </t>
  </si>
  <si>
    <t xml:space="preserve"> / FA (s) - D12</t>
  </si>
  <si>
    <t>FA (s) - D12 /</t>
  </si>
  <si>
    <t>SME (s) - BT 7.02</t>
  </si>
  <si>
    <t>Databases (DB) - C. Cenan - P03</t>
  </si>
  <si>
    <t>Special mathematics in engineering (SME) - I. Rasa - P03</t>
  </si>
  <si>
    <t>Electronic measurements and sensors (EMS) - R. Holonec - P03</t>
  </si>
  <si>
    <r>
      <rPr>
        <rFont val="Arial"/>
        <color rgb="FF000000"/>
        <sz val="10.0"/>
      </rPr>
      <t xml:space="preserve">For the </t>
    </r>
    <r>
      <rPr>
        <rFont val="Arial"/>
        <b/>
        <color rgb="FF000000"/>
        <sz val="10.0"/>
      </rPr>
      <t>Pedagogy</t>
    </r>
    <r>
      <rPr>
        <rFont val="Arial"/>
        <color rgb="FF000000"/>
        <sz val="10.0"/>
      </rPr>
      <t xml:space="preserve"> course, choose one of the sessions: </t>
    </r>
    <r>
      <rPr>
        <rFont val="Arial"/>
        <b/>
        <color rgb="FF000000"/>
        <sz val="10.0"/>
      </rPr>
      <t>THU</t>
    </r>
    <r>
      <rPr>
        <rFont val="Arial"/>
        <color rgb="FF000000"/>
        <sz val="10.0"/>
      </rPr>
      <t xml:space="preserve"> 10-12, 12-14 or 14-16.  Room 206, Daicoviciu, 2nd floor</t>
    </r>
  </si>
  <si>
    <t xml:space="preserve">     </t>
  </si>
  <si>
    <t>ORAR       An 3 CTI (Calculatoare) romana -  Semestrul 1  -  Anul universitar 2025/2026</t>
  </si>
  <si>
    <t>SSC p 108 / SSC p 108</t>
  </si>
  <si>
    <t>IA BT5.04</t>
  </si>
  <si>
    <t>PG 105</t>
  </si>
  <si>
    <t>PMP 107</t>
  </si>
  <si>
    <t>SSC 103</t>
  </si>
  <si>
    <t>IS BT5.04</t>
  </si>
  <si>
    <t>Prelucrare grafica (PG) - D. Gorgan - D01</t>
  </si>
  <si>
    <t>IS BT5.03</t>
  </si>
  <si>
    <t>Inteligenta artificiala (IA) - A. Marginean - D01</t>
  </si>
  <si>
    <t>IA 26B</t>
  </si>
  <si>
    <t>PF 479</t>
  </si>
  <si>
    <t>Proiectare cu microprocesoare (PmP) - R. Itu  - D01</t>
  </si>
  <si>
    <t>Prelucrare grafica (PG) - A. Sabou - D21</t>
  </si>
  <si>
    <t>Structura sistemelor de calcul (SSC) - M. Muresan - D21</t>
  </si>
  <si>
    <t>Inginerie software (IS) - E. Todoran - D21</t>
  </si>
  <si>
    <t>Legislatie economica (LE) - R. Cordos - D21</t>
  </si>
  <si>
    <t>Instr. asistata de calc.(fac) - curs    356    /       (seminar)      356</t>
  </si>
  <si>
    <t>Inginerie software (IS) - E. Todoran - D01</t>
  </si>
  <si>
    <t>Structura sistemelor de calcul (SSC) - A. Hangan - D01</t>
  </si>
  <si>
    <t>Programare functională (PF) - R. Slavescu - D01</t>
  </si>
  <si>
    <t>SSC p 101 / SSC p 101</t>
  </si>
  <si>
    <t xml:space="preserve"> / Didact. spec.</t>
  </si>
  <si>
    <t>SSC S4.2</t>
  </si>
  <si>
    <t>/           Didactica specialitatii - I. Iuhos  206 (turn) - optional</t>
  </si>
  <si>
    <t>SSC 101</t>
  </si>
  <si>
    <t>IA 479</t>
  </si>
  <si>
    <t>Proiectare cu microprocesoare (PmP) - M. Negru - 40</t>
  </si>
  <si>
    <t>Inteligenta artificiala (IA) - R. Slavescu - 40</t>
  </si>
  <si>
    <t>Programare functională (PF) - R. Slavescu - 40</t>
  </si>
  <si>
    <t>Legislatie economica (LE) - R. Cordos - F</t>
  </si>
  <si>
    <t>Cursul si seminarul de Didactica specialitatii (optional) se desfasoara in sala 206 (Cladirea Bloc Turn, str. Daicoviciu)</t>
  </si>
  <si>
    <t>Schedule of classes 3rd Year Computer Science english -  1st Semester   -  Academic Year 2025/2026</t>
  </si>
  <si>
    <t>SCS S4.2</t>
  </si>
  <si>
    <t>FP BT5.03</t>
  </si>
  <si>
    <t>AI 26B</t>
  </si>
  <si>
    <t>FP 479</t>
  </si>
  <si>
    <t>GP BT5.05</t>
  </si>
  <si>
    <t>FP BT5.04</t>
  </si>
  <si>
    <t>SE BT5.03</t>
  </si>
  <si>
    <t>Artificial intelligence (AI) - A. Groza - P03</t>
  </si>
  <si>
    <t>Software engineering (SE) - E. Todoran  - P03</t>
  </si>
  <si>
    <t>SCS p S4.2 / SCS p S4.2</t>
  </si>
  <si>
    <t>DMP 107</t>
  </si>
  <si>
    <t>GP 105</t>
  </si>
  <si>
    <t>SCS p S4.2/ SCS p S4.2</t>
  </si>
  <si>
    <t>Functional programming (FP) - R. Slavescu - 40</t>
  </si>
  <si>
    <t>Economic law (EL) - R. Cordos - 40</t>
  </si>
  <si>
    <t>Computer assisted instruction.(fac) 356          /           seminar 356</t>
  </si>
  <si>
    <t>SCS p 103  /    SCS p 103</t>
  </si>
  <si>
    <t>SE 16B</t>
  </si>
  <si>
    <t>SCS p 103/ SCS p 103</t>
  </si>
  <si>
    <t>Didact . spec. 206 (turn)/</t>
  </si>
  <si>
    <t>SCS 103</t>
  </si>
  <si>
    <t>/Didactica specialitatii - I. Iuhos  206 (turn) - optional -</t>
  </si>
  <si>
    <t>Graphic processing (GP) - D. Gorgan - D01</t>
  </si>
  <si>
    <t>Design with microprocessors (DMP) - R. Danescu  - D01</t>
  </si>
  <si>
    <t>Structure of computer systems (SCS) - G. Sebestyen - D01</t>
  </si>
  <si>
    <t>AI 103</t>
  </si>
  <si>
    <t>FP 26B</t>
  </si>
  <si>
    <t>ORAR       An 4 Calculatoare romana -  Semestrul 1  -  Anul universitar 2025/2026</t>
  </si>
  <si>
    <t>ORAR       An 4 Tehnologia Informatiei -  Semestrul 1  -  Anul universitar 2025/2026</t>
  </si>
  <si>
    <t>Grupa restanțieri</t>
  </si>
  <si>
    <t>Management si comunicare (MC) - 		 - H11</t>
  </si>
  <si>
    <t>Sisteme informatice distribuite (SD) - M. Antal - 40</t>
  </si>
  <si>
    <t>Sisteme distribuite (SD) - T. Cioara - H11</t>
  </si>
  <si>
    <t>Sisteme de calitate in TI (SCTI) - A. Iordan - 40</t>
  </si>
  <si>
    <t>Marketing – A. Constantinescu - H11</t>
  </si>
  <si>
    <t>PBD 16B</t>
  </si>
  <si>
    <t>PT 210</t>
  </si>
  <si>
    <t>IOC 108 (3h)</t>
  </si>
  <si>
    <t>PRC 16B</t>
  </si>
  <si>
    <t>PT (p) 206 /</t>
  </si>
  <si>
    <t>MSI 106 /</t>
  </si>
  <si>
    <t xml:space="preserve"> / MSI 106</t>
  </si>
  <si>
    <t>SD 104 (3h)</t>
  </si>
  <si>
    <t>MSI 106/</t>
  </si>
  <si>
    <t>/MSI 106</t>
  </si>
  <si>
    <t>PSO 101</t>
  </si>
  <si>
    <t>PIU 106 (3h)</t>
  </si>
  <si>
    <t>SD BT5.05 (3h)</t>
  </si>
  <si>
    <t>ASO BT5.04 (3h)</t>
  </si>
  <si>
    <t>SE 103 (3h)
9-12</t>
  </si>
  <si>
    <t>PBD 108</t>
  </si>
  <si>
    <t>TM 102</t>
  </si>
  <si>
    <t xml:space="preserve">MSI 108 / </t>
  </si>
  <si>
    <t>/ MSI 108</t>
  </si>
  <si>
    <t>TM 103</t>
  </si>
  <si>
    <t xml:space="preserve">/ MSI 108 </t>
  </si>
  <si>
    <t>Autonomous Driving (Curs) - fac. (Bosch) - H11</t>
  </si>
  <si>
    <t>II S4.2</t>
  </si>
  <si>
    <t>Proiectarea sistemelor de operare (PSO) - A. Colesa - D03</t>
  </si>
  <si>
    <t>Proiectare baze date (PBD) - C. Cenan - F</t>
  </si>
  <si>
    <t>Informatica industriala (II) - G. Sebestyen-Pal - D01</t>
  </si>
  <si>
    <t>Tehnologii multimedia (TM) - C. Melenti - 356</t>
  </si>
  <si>
    <t xml:space="preserve"> Sisteme de recunoastere a formelor (SRF) - A. Petrovai -  D03</t>
  </si>
  <si>
    <t>Proiectarea translatoarelor (PT) - E. Chifu - F</t>
  </si>
  <si>
    <t>Administrarea bazelor de date (ABD) - D. Mitrea - D01</t>
  </si>
  <si>
    <t>Sisteme expert (SE) - R. Slavescu - 356</t>
  </si>
  <si>
    <t>Proiect. retele calcul. (PRC) - E. Cebuc - D03</t>
  </si>
  <si>
    <t>Proiectarea interfetelor utilizator (PIU) - T. Stefanut - F</t>
  </si>
  <si>
    <t>Administrarea sistemelor de operare (ASO) - C. Oprisa - D01</t>
  </si>
  <si>
    <t>Interactiunea om calculator (IOC) - T. Marita - 356</t>
  </si>
  <si>
    <t>Managementul clasei de elevi (fac.)- C. Bal - F (20-21)</t>
  </si>
  <si>
    <t>SRF 106 (3h)</t>
  </si>
  <si>
    <t>ABD 108 (3h)</t>
  </si>
  <si>
    <t>ASO 102 (3h)</t>
  </si>
  <si>
    <t>SD BT5.04 (3h)</t>
  </si>
  <si>
    <t>SE BT5.05 (3h)</t>
  </si>
  <si>
    <t xml:space="preserve">
SD 104 (3h)</t>
  </si>
  <si>
    <t>ADB 108 (3h)</t>
  </si>
  <si>
    <t>ABD 16B (3h)</t>
  </si>
  <si>
    <t>PT 206</t>
  </si>
  <si>
    <t>PT (p) 210 /</t>
  </si>
  <si>
    <t>ABD 101 (3h)</t>
  </si>
  <si>
    <t>IOC 106 (3h)</t>
  </si>
  <si>
    <t>Managementul proiectelor (MP) - M. Dinsoreanu (3h 10-13) D01</t>
  </si>
  <si>
    <t>PSO (p) 101 /</t>
  </si>
  <si>
    <t>/ PSO (p) 101</t>
  </si>
  <si>
    <t>Dezvoltare personala profesionala, etica - Aula Inst.</t>
  </si>
  <si>
    <t>Dezvoltare personala profesionala, etica - Aula Instalatii</t>
  </si>
  <si>
    <t xml:space="preserve">Mentenata sistemelor informatice (MSI)  - C. Moisescu - Aula Instalatii </t>
  </si>
  <si>
    <t>Întâlnirile pentru evaluarea Activității de cercetare - proiectare vor fi programate de comun acord cu îndrumătorii de lucrare de diplomă</t>
  </si>
  <si>
    <t>* LABORATOR AUTONOMOUS DRIVING sala BT6.01:  JOI ora 12-14; VINERI ora 12-14 ,14-16;</t>
  </si>
  <si>
    <t>* LABORATOR AUTONOMOUS DRIVING sala S35:  JOI ora 12-14; VINERI ora 12-14 ,14-16;</t>
  </si>
  <si>
    <t>Schedule of classes 4th Year Computer Science english -  1st Semester   -  Academic Year 2025/2026</t>
  </si>
  <si>
    <t>OSD (p) 101 /</t>
  </si>
  <si>
    <t>/OSD (p) 101</t>
  </si>
  <si>
    <t>CND 106</t>
  </si>
  <si>
    <t>OSD 101</t>
  </si>
  <si>
    <t>/ TD (p) BT5.03</t>
  </si>
  <si>
    <t>Operating systems design (OSD) - A. Colesa - F</t>
  </si>
  <si>
    <t>User interface design (UID) - D. Gorgan - H11</t>
  </si>
  <si>
    <t>Project Management (PM) - M. Dinsoreanu  (3h 10-13) - F</t>
  </si>
  <si>
    <t>Distributed systems (DS) - C. Pop - (13-15) - F</t>
  </si>
  <si>
    <t>Autonomous Driving - fac. (Bosch) - I. Muntean - H11</t>
  </si>
  <si>
    <t>PRS 106 (3h)</t>
  </si>
  <si>
    <t>DS 104 (3h)</t>
  </si>
  <si>
    <t>DS BT5.04 (3h)</t>
  </si>
  <si>
    <t>UID BT5.05 (3h)</t>
  </si>
  <si>
    <t>TD (p) BT5.01 /</t>
  </si>
  <si>
    <t>/ TD (p) BT5.01</t>
  </si>
  <si>
    <t>Computer Networks Design (CND) - E. Cebuc - H11</t>
  </si>
  <si>
    <t>Database Design (DBD) - M. Antal - 356</t>
  </si>
  <si>
    <t>Pattern recognition systems (PRS) - I. Giosan - H11</t>
  </si>
  <si>
    <t>Translators design (TD) - E. Chifu - 356</t>
  </si>
  <si>
    <t>Marketing - V. Maier - H11</t>
  </si>
  <si>
    <t>Personal Prof. Develop.  - F</t>
  </si>
  <si>
    <t>Management and communication (MC) - V.Maier - F</t>
  </si>
  <si>
    <t>OSD BT5.05</t>
  </si>
  <si>
    <t>CND 16B</t>
  </si>
  <si>
    <t>DBD 108</t>
  </si>
  <si>
    <t>TD 103</t>
  </si>
  <si>
    <t>Meetings to assess the Research and development activity will be scheduled with the diploma project supervisor</t>
  </si>
  <si>
    <t>* LAB SESSIONS AUTONOMOUS DRIVING: room BT6.01: THU 12-14; FRI: 12-14; 14-16</t>
  </si>
  <si>
    <t>ORAR     An 1 Master - Semestrul 1 - Anul universitar 2025/2026</t>
  </si>
  <si>
    <t>Artificial Intelligence and Vision</t>
  </si>
  <si>
    <t>Retele de Comunicatii</t>
  </si>
  <si>
    <t>Inginerie Software</t>
  </si>
  <si>
    <t>Ingineria Calculatoarelor</t>
  </si>
  <si>
    <t>Tehnologia Informatiei in Economie</t>
  </si>
  <si>
    <t>Cybersecurity Engineering</t>
  </si>
  <si>
    <t>Data Science</t>
  </si>
  <si>
    <t>si Sisteme Distribuite</t>
  </si>
  <si>
    <t>8-10</t>
  </si>
  <si>
    <t>Software Security (SS)- 102</t>
  </si>
  <si>
    <t>SS 102                   /            SS 102</t>
  </si>
  <si>
    <t>SS 106      /</t>
  </si>
  <si>
    <t>/        RC E15</t>
  </si>
  <si>
    <t>(facultativ)</t>
  </si>
  <si>
    <t>RC E15        /</t>
  </si>
  <si>
    <t>BigData (s) - BT 5.02</t>
  </si>
  <si>
    <t>Distributed Systems (DS) - I. Salomie BT 5.01</t>
  </si>
  <si>
    <t>Retele de calculatoare (RC) - V. Dadarlat - F</t>
  </si>
  <si>
    <t>Big Data (BigData) - BT 5.02</t>
  </si>
  <si>
    <t>DS BT 5.01 /</t>
  </si>
  <si>
    <t>/    DS BT 5.01</t>
  </si>
  <si>
    <t>/ RC F</t>
  </si>
  <si>
    <t>RC F     /</t>
  </si>
  <si>
    <t xml:space="preserve">RC F/               </t>
  </si>
  <si>
    <t xml:space="preserve">RC E17   /  </t>
  </si>
  <si>
    <t>Information Security (IS) - 102</t>
  </si>
  <si>
    <t>Database Systems (DB) - BT 5.01</t>
  </si>
  <si>
    <t xml:space="preserve"> /       IS       102</t>
  </si>
  <si>
    <t xml:space="preserve">  IS 102      /</t>
  </si>
  <si>
    <t>DB BT 5.01   /</t>
  </si>
  <si>
    <t>/   DB BT 5.01</t>
  </si>
  <si>
    <t>IAS BT 5.01 /</t>
  </si>
  <si>
    <t xml:space="preserve">  / IAS BT 5.01</t>
  </si>
  <si>
    <t>Intelligent Agent Systems - R. Slavescu - BT 5.01</t>
  </si>
  <si>
    <t>Sisteme distribuite (SD) - I. Salomie - F</t>
  </si>
  <si>
    <t xml:space="preserve">   /  SD F</t>
  </si>
  <si>
    <t>SD E15 /</t>
  </si>
  <si>
    <t>SD F     /</t>
  </si>
  <si>
    <t>/ SD 40</t>
  </si>
  <si>
    <t>/ SD E15</t>
  </si>
  <si>
    <t>SD E17     /</t>
  </si>
  <si>
    <t>Reverse Eng. and Malware analysis (REMA) - 102 (8-9)</t>
  </si>
  <si>
    <t>Algorithms (Alg) - BT 5.01             /</t>
  </si>
  <si>
    <t>REMA (s) 102 (9-10)</t>
  </si>
  <si>
    <t>REMA 102</t>
  </si>
  <si>
    <t>REMA 101</t>
  </si>
  <si>
    <t>REMA 108</t>
  </si>
  <si>
    <t>Alg (L+P) - BT 5.01</t>
  </si>
  <si>
    <t>REMA (s) 102 (12-13)</t>
  </si>
  <si>
    <t xml:space="preserve">CN BT 5.01      /      </t>
  </si>
  <si>
    <t>/       CN BT 5.01</t>
  </si>
  <si>
    <t xml:space="preserve">VA D11      /    </t>
  </si>
  <si>
    <t>/      VA D11</t>
  </si>
  <si>
    <t xml:space="preserve">            /             BE E17 </t>
  </si>
  <si>
    <t xml:space="preserve"> BE E17     /</t>
  </si>
  <si>
    <t>Computer Networks (CN) - V. Dadarlat - BT 5.01</t>
  </si>
  <si>
    <t xml:space="preserve"> Viziune artificiala (VA) - R. Brehar - H11</t>
  </si>
  <si>
    <t>Ingineria programarii (IP) 40</t>
  </si>
  <si>
    <t xml:space="preserve">VA E17      /   </t>
  </si>
  <si>
    <t xml:space="preserve"> /     IP 40</t>
  </si>
  <si>
    <t>IP 40 /</t>
  </si>
  <si>
    <t>Machine Learning 1 (ML1) - BT 5.01</t>
  </si>
  <si>
    <t xml:space="preserve">ML1 BT 5.01 / </t>
  </si>
  <si>
    <t xml:space="preserve"> / ML1 BT 5.01</t>
  </si>
  <si>
    <t xml:space="preserve">  /   DLCV BT 5.01 </t>
  </si>
  <si>
    <t>DLCV BT 5.01/</t>
  </si>
  <si>
    <t>Interf.om calc. (IOC) - E15 (opt)</t>
  </si>
  <si>
    <t>PSM BT 7.02</t>
  </si>
  <si>
    <t xml:space="preserve"> SAI BT 5.02 (17-18)</t>
  </si>
  <si>
    <t xml:space="preserve">Mobile Security (MS) - 101  (17-19)  (opt) </t>
  </si>
  <si>
    <t>Deep Learning Based Computer Vision (DLCV) - S. Nedevschi - BT 5.01</t>
  </si>
  <si>
    <t xml:space="preserve">Sisteme de agenti inteligenti (SAI)  - A. Marginean - BT 5.02 (optional) </t>
  </si>
  <si>
    <t>IOC (s) - E15 (18-19)</t>
  </si>
  <si>
    <t>Bazele economiei (BE) - D11</t>
  </si>
  <si>
    <t xml:space="preserve"> Progr. Sec. Mech. of x86-64 Arch. (PSM) - 356 (opt)</t>
  </si>
  <si>
    <t>MS 101 (19-21)</t>
  </si>
  <si>
    <t>Mathematical Models for ML (MML) - C+S - M1</t>
  </si>
  <si>
    <t>3 ore activitate de cercetare vor fi programate de comun acord cu indrumatorii</t>
  </si>
  <si>
    <t>2 ore proiect vor fi programate de comun acord cu indrumatorii</t>
  </si>
  <si>
    <t>Responsabil / birou:</t>
  </si>
  <si>
    <t>Prof.dr.ing. Sergiu Nedevschi /M07</t>
  </si>
  <si>
    <t>Prof.dr.ing. Vasile Dădârlat / 28</t>
  </si>
  <si>
    <t xml:space="preserve">Prof.dr.ing. Tudor Cioara / </t>
  </si>
  <si>
    <t>Prof.dr.ing. Gheorghe Sebestyen / C4</t>
  </si>
  <si>
    <t>Prof.dr.ing. Mihaela Dinsoreanu / D01 (Baritiu)</t>
  </si>
  <si>
    <t>Conf.dr.ing. Colesa Adrian / M02</t>
  </si>
  <si>
    <t>Prof.dr.ing. Potolea Rodica / C09</t>
  </si>
  <si>
    <t>Intalnirile pentru evaluarea Activitatii de Cercetare vor fi programate de comun acord cu indrumatorii de dizertatie</t>
  </si>
  <si>
    <t>ORAR     An 2 Master - Semestrul 1 - Anul universitar 2025/2026</t>
  </si>
  <si>
    <t>Inteligenta si Viziune Artificiala</t>
  </si>
  <si>
    <t>Blockchain (C + S) - BT 5.02</t>
  </si>
  <si>
    <t>Human-Computer Interfaces (HCI) -  BT 7.02</t>
  </si>
  <si>
    <t>SCCSN 102</t>
  </si>
  <si>
    <t>HCI BT 7.02 /</t>
  </si>
  <si>
    <t>/ HCI BT 7.02</t>
  </si>
  <si>
    <t>Blockchain (BLK) - E15</t>
  </si>
  <si>
    <t>Security Configuration of Computing Systems and Networks (SCCSN) - 102</t>
  </si>
  <si>
    <t>BLK E15 /</t>
  </si>
  <si>
    <t>`</t>
  </si>
  <si>
    <t>ST BT 5.04    /   / FP BT 5.04</t>
  </si>
  <si>
    <t xml:space="preserve">NLP M1                      /        </t>
  </si>
  <si>
    <t>Natural Language Processing (NLP) - D01</t>
  </si>
  <si>
    <t>ST BT 5.04 / FP BT 5.04</t>
  </si>
  <si>
    <t>/ TWEB BT 5.02</t>
  </si>
  <si>
    <t>PT 102                /                  PT 102</t>
  </si>
  <si>
    <t>Natural Language Proc. (NLP) - D01                              Advanced in Computer Vision (ACV) - BT 7.02</t>
  </si>
  <si>
    <t>NLP M1 /</t>
  </si>
  <si>
    <t xml:space="preserve">  /    NLP M1</t>
  </si>
  <si>
    <t>Sis.digi.com. (SDC) - 101</t>
  </si>
  <si>
    <t>Sist.tranzaction. (ST)  - BT 5.04</t>
  </si>
  <si>
    <t>Teh. web e-busin. (TWEB) - BT 5.02</t>
  </si>
  <si>
    <t>Penetration testing (PT) - 102</t>
  </si>
  <si>
    <t xml:space="preserve">ACV - BT 7.02           /         </t>
  </si>
  <si>
    <t>SDC 101 /</t>
  </si>
  <si>
    <t>Fiabilitate progr. (FP) - BT 5.04</t>
  </si>
  <si>
    <t xml:space="preserve"> /     IP E15</t>
  </si>
  <si>
    <t xml:space="preserve">IP E15 / </t>
  </si>
  <si>
    <t xml:space="preserve">IP 40 /         </t>
  </si>
  <si>
    <t>/ IP 40</t>
  </si>
  <si>
    <t xml:space="preserve">Data-Driven B. &amp; Beh. Analytics (BBA) - M2
</t>
  </si>
  <si>
    <t>NeuroScience (NS) - M3 (C+S) (17-19)</t>
  </si>
  <si>
    <t>Ingineria programarii (IP) - M. Dinsoreanu - 40</t>
  </si>
  <si>
    <t>Data wareh. BI (DWBI) - E15</t>
  </si>
  <si>
    <t>Applied Cryptography (AC) 102 optional</t>
  </si>
  <si>
    <t>BBA M2 (L)         /</t>
  </si>
  <si>
    <t>NS M3 (L) (19-20)</t>
  </si>
  <si>
    <t xml:space="preserve"> / DWBI E15</t>
  </si>
  <si>
    <t>AC 102</t>
  </si>
  <si>
    <t>Virtual Reality (VR) - 467</t>
  </si>
  <si>
    <t xml:space="preserve"> / SI 202</t>
  </si>
  <si>
    <t>DFIR 102       /</t>
  </si>
  <si>
    <t xml:space="preserve">  /              DFIR 102   </t>
  </si>
  <si>
    <t>Complex Net. (CN) - M3 (16-17)</t>
  </si>
  <si>
    <t xml:space="preserve">IoT &amp; Industry 4.0 (IoT) - M1 (17-18)  </t>
  </si>
  <si>
    <t>CN M3 (L+P) (17-19)</t>
  </si>
  <si>
    <t>VR 467/</t>
  </si>
  <si>
    <t>/  VR 467</t>
  </si>
  <si>
    <t>Securitate info. (SI) - 202</t>
  </si>
  <si>
    <t>Digital Forensics and Incident Response (DFIR) 102</t>
  </si>
  <si>
    <t>IoT M1 (L + P)</t>
  </si>
  <si>
    <t>Cloud computing (C + P) - M3</t>
  </si>
  <si>
    <t>/  Information Security (C) - M2</t>
  </si>
  <si>
    <t>2 ore Proiect vor fi programate de comun acord cu indrumatorii</t>
  </si>
  <si>
    <t xml:space="preserve"> /    IS (P) - M2    </t>
  </si>
  <si>
    <t xml:space="preserve"> / Etica si integritate academica - P03 (sapt para)</t>
  </si>
  <si>
    <t>ORAR     An 1 Master CSC - Semestrul 1 - Anul universitar 2025/2026</t>
  </si>
  <si>
    <t>Complemente de</t>
  </si>
  <si>
    <t>Stiinta Calculatoarelor</t>
  </si>
  <si>
    <t>PC 202</t>
  </si>
  <si>
    <t xml:space="preserve">  /                               PC (s) 202</t>
  </si>
  <si>
    <t>Baze de Date (curs) - G. Dragomir - 40 (cu anul II, seria B)</t>
  </si>
  <si>
    <t>Programarea calculatoarelor (curs) - I. Giosan - D01 (cu anul I, seria A)</t>
  </si>
  <si>
    <t>SP (s) D12</t>
  </si>
  <si>
    <t>Statistica si probabilitati (curs) -  I. Rasa - D12</t>
  </si>
  <si>
    <t>Bazele arhitecturii calculatoarelor (BAC) -  F. Oniga - D12</t>
  </si>
  <si>
    <t>BAC 214</t>
  </si>
  <si>
    <t>Prof.dr.ing. Florin Oniga</t>
  </si>
  <si>
    <t>ORAR     An 2 Master CSC - Semestrul 1 - Anul universitar 2025/2026</t>
  </si>
  <si>
    <t>Discipline opționale, comune cu secția Calculatoare:</t>
  </si>
  <si>
    <t>(2curs+2lab.) (se aleg 3 discipline opționale)</t>
  </si>
  <si>
    <t>Sisteme informatice distribuite (SD) - M. Antal - 40</t>
  </si>
  <si>
    <t>Cu anul III:</t>
  </si>
  <si>
    <t>Introducere în Inteligența Artificială</t>
  </si>
  <si>
    <t>Cu anul IV TI:</t>
  </si>
  <si>
    <t>Administrarea sistemelor de operare</t>
  </si>
  <si>
    <t>Tehnologii multimedia</t>
  </si>
  <si>
    <t>Administrarea bazelor de date</t>
  </si>
  <si>
    <t>Algoritmi Fundamentali (AF) - C.Lemnaru, C. Oprisa - 40</t>
  </si>
  <si>
    <t>Informatică industrială</t>
  </si>
  <si>
    <t>Sisteme distribuite</t>
  </si>
  <si>
    <t>Cu anul IV Calculatoare:</t>
  </si>
  <si>
    <t>Sisteme de recunoaștere a formelor</t>
  </si>
  <si>
    <t>Proiectarea interfețelor utilizator</t>
  </si>
  <si>
    <t>AF (s) M2                       /</t>
  </si>
  <si>
    <t>RC 16b (8-11)</t>
  </si>
  <si>
    <t>Pentru disciplinele optionale la care nu apare explicit in orar activitatea de laborator, va rugam sa contactati titularii de curs pentru a stabili grupa de la licenta cu care veti desfasura activitatea de laborator.</t>
  </si>
  <si>
    <t>Tehn. multimedia (TM) - D03 ; Informatica ind. (II) - D01</t>
  </si>
  <si>
    <t xml:space="preserve"> Admin. B.D. (ABD) - D01 ; Sist. rec. formelor (SRF) - F</t>
  </si>
  <si>
    <t xml:space="preserve">Proi. interfete utilizator (PIU) - 356 ; Admin. sist. op. (ASO) - D01 </t>
  </si>
  <si>
    <t>Rețele de calculatoare (RC) - B. Iancu E17</t>
  </si>
  <si>
    <t xml:space="preserve">Intelig. artificiala (IA) - R. Slavescu - 40 </t>
  </si>
  <si>
    <t>/ Etica si integritate academica - P03 (sapt para)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</si>
</sst>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4">
    <font>
      <sz val="10.0"/>
      <color rgb="FF000000"/>
      <name val="Arial"/>
    </font>
    <font>
      <sz val="11.0"/>
      <color rgb="FF000000"/>
      <name val="Arial"/>
    </font>
    <font/>
    <font>
      <sz val="11.0"/>
      <color rgb="FF003366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b/>
      <sz val="11.0"/>
      <color rgb="FF000000"/>
      <name val="Arial"/>
    </font>
    <font>
      <sz val="11.0"/>
      <name val="Arial"/>
    </font>
    <font>
      <u/>
      <sz val="11.0"/>
      <color rgb="FF000000"/>
      <name val="Arial"/>
    </font>
    <font>
      <u/>
      <sz val="11.0"/>
      <color rgb="FF0000FF"/>
      <name val="Arial"/>
    </font>
    <font>
      <b/>
      <sz val="15.0"/>
      <color rgb="FF000000"/>
      <name val="Arial"/>
    </font>
    <font>
      <b/>
      <sz val="14.0"/>
      <color rgb="FF000000"/>
      <name val="Arial"/>
    </font>
    <font>
      <b/>
      <sz val="10.0"/>
      <color rgb="FF000000"/>
      <name val="Arial"/>
    </font>
    <font>
      <name val="Arial"/>
    </font>
    <font>
      <b/>
      <name val="Arial"/>
    </font>
    <font>
      <color rgb="FF000000"/>
      <name val="Arial"/>
    </font>
    <font>
      <b/>
      <sz val="9.0"/>
      <name val="Arial"/>
    </font>
    <font>
      <b/>
      <color rgb="FF000000"/>
      <name val="Arial"/>
    </font>
    <font>
      <b/>
      <sz val="7.0"/>
      <name val="Arial"/>
    </font>
    <font>
      <sz val="7.0"/>
      <name val="Arial"/>
    </font>
    <font>
      <sz val="6.0"/>
      <name val="Arial"/>
    </font>
    <font>
      <sz val="7.0"/>
      <color rgb="FF000000"/>
      <name val="Arial"/>
    </font>
    <font>
      <b/>
      <sz val="8.0"/>
    </font>
    <font>
      <u/>
      <sz val="10.0"/>
      <color rgb="FF0000FF"/>
      <name val="Arial"/>
    </font>
    <font>
      <u/>
      <sz val="10.0"/>
      <color rgb="FF0000FF"/>
      <name val="Arial"/>
    </font>
    <font>
      <color rgb="FF000000"/>
    </font>
    <font>
      <sz val="10.0"/>
      <color rgb="FFFFFFFF"/>
      <name val="Arial"/>
    </font>
    <font>
      <b/>
      <sz val="12.0"/>
      <name val="Arial"/>
    </font>
    <font>
      <sz val="10.0"/>
      <name val="Arial"/>
    </font>
    <font>
      <b/>
      <sz val="10.0"/>
      <name val="Arial"/>
    </font>
    <font>
      <sz val="9.0"/>
      <name val="Arial"/>
    </font>
    <font>
      <b/>
      <sz val="8.0"/>
      <color rgb="FF000000"/>
      <name val="Arial"/>
    </font>
    <font>
      <sz val="9.0"/>
      <name val="Helvetica"/>
    </font>
    <font>
      <sz val="7.0"/>
      <color rgb="FF000000"/>
    </font>
    <font>
      <b/>
      <sz val="7.0"/>
      <color rgb="FF000000"/>
      <name val="Arial"/>
    </font>
    <font>
      <sz val="7.0"/>
      <color rgb="FFFF0000"/>
      <name val="Arial"/>
    </font>
    <font>
      <sz val="7.0"/>
      <color rgb="FF434343"/>
      <name val="Arial"/>
    </font>
    <font>
      <b/>
      <sz val="8.0"/>
      <name val="Arial"/>
    </font>
    <font>
      <sz val="7.0"/>
    </font>
    <font>
      <b/>
      <sz val="7.0"/>
      <color rgb="FF434343"/>
      <name val="Arial"/>
    </font>
    <font>
      <sz val="9.0"/>
      <color rgb="FF000000"/>
      <name val="Arial"/>
    </font>
    <font>
      <b/>
      <color rgb="FF000000"/>
    </font>
    <font>
      <sz val="10.0"/>
      <color rgb="FFFF0000"/>
      <name val="Arial"/>
    </font>
    <font>
      <sz val="8.0"/>
      <name val="Arial"/>
    </font>
    <font>
      <b/>
    </font>
    <font>
      <b/>
      <sz val="9.0"/>
      <color rgb="FF000000"/>
      <name val="Arial"/>
    </font>
    <font>
      <color rgb="FFFF0000"/>
    </font>
    <font>
      <sz val="8.0"/>
    </font>
    <font>
      <sz val="8.0"/>
      <color rgb="FF000000"/>
      <name val="Arial"/>
    </font>
    <font>
      <sz val="8.0"/>
      <color rgb="FF1F1F1F"/>
      <name val="&quot;Google Sans&quot;"/>
    </font>
    <font>
      <sz val="9.0"/>
    </font>
    <font>
      <sz val="9.0"/>
      <color rgb="FF6AA84F"/>
      <name val="Arial"/>
    </font>
    <font>
      <sz val="8.0"/>
      <color rgb="FFFF0000"/>
      <name val="Arial"/>
    </font>
    <font>
      <b/>
      <color rgb="FFFF0000"/>
    </font>
    <font>
      <sz val="8.0"/>
      <color rgb="FF000000"/>
    </font>
    <font>
      <b/>
      <sz val="8.0"/>
      <color rgb="FF000000"/>
    </font>
    <font>
      <b/>
      <sz val="7.0"/>
    </font>
    <font>
      <b/>
      <sz val="6.0"/>
      <name val="Arial"/>
    </font>
    <font>
      <b/>
      <sz val="6.0"/>
      <color rgb="FF000000"/>
      <name val="Arial"/>
    </font>
    <font>
      <sz val="6.0"/>
      <color rgb="FF000000"/>
      <name val="Arial"/>
    </font>
    <font>
      <b/>
      <sz val="9.0"/>
    </font>
    <font>
      <b/>
      <sz val="6.0"/>
    </font>
    <font>
      <b/>
      <sz val="11.0"/>
      <name val="Arial"/>
    </font>
    <font>
      <b/>
      <sz val="9.0"/>
      <color rgb="FFFF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B7B7B7"/>
        <bgColor rgb="FFB7B7B7"/>
      </patternFill>
    </fill>
    <fill>
      <patternFill patternType="solid">
        <fgColor rgb="FFB8CCE4"/>
        <bgColor rgb="FFB8CCE4"/>
      </patternFill>
    </fill>
  </fills>
  <borders count="98">
    <border/>
    <border>
      <left style="medium">
        <color rgb="FFCCCCCC"/>
      </left>
      <top style="medium">
        <color rgb="FFCCCCCC"/>
      </top>
    </border>
    <border>
      <top style="medium">
        <color rgb="FFCCCCCC"/>
      </top>
    </border>
    <border>
      <right style="medium">
        <color rgb="FFCCCCCC"/>
      </right>
      <top style="medium">
        <color rgb="FFCCCCCC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CCCCCC"/>
      </left>
    </border>
    <border>
      <left style="medium">
        <color rgb="FFCCCCCC"/>
      </left>
      <bottom style="medium">
        <color rgb="FFCCCCCC"/>
      </bottom>
    </border>
    <border>
      <bottom style="medium">
        <color rgb="FFCCCCCC"/>
      </bottom>
    </border>
    <border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bottom/>
    </border>
    <border>
      <right/>
      <bottom/>
    </border>
    <border>
      <right/>
    </border>
    <border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top/>
      <bottom/>
    </border>
    <border>
      <right/>
      <top/>
      <bottom/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/>
    </border>
    <border>
      <right style="thin">
        <color rgb="FF000000"/>
      </right>
      <top/>
    </border>
    <border>
      <top/>
    </border>
    <border>
      <right style="medium">
        <color rgb="FF000000"/>
      </right>
      <top/>
    </border>
    <border>
      <left/>
      <right/>
      <top/>
      <bottom/>
    </border>
  </borders>
  <cellStyleXfs count="1">
    <xf borderId="0" fillId="0" fontId="0" numFmtId="0" applyAlignment="1" applyFont="1"/>
  </cellStyleXfs>
  <cellXfs count="1231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horizontal="center" shrinkToFit="0" vertical="center" wrapText="1"/>
    </xf>
    <xf borderId="7" fillId="2" fontId="3" numFmtId="0" xfId="0" applyAlignment="1" applyBorder="1" applyFont="1">
      <alignment horizontal="center" shrinkToFit="0" vertical="center" wrapText="0"/>
    </xf>
    <xf borderId="8" fillId="0" fontId="2" numFmtId="0" xfId="0" applyBorder="1" applyFont="1"/>
    <xf borderId="9" fillId="2" fontId="1" numFmtId="0" xfId="0" applyAlignment="1" applyBorder="1" applyFont="1">
      <alignment shrinkToFit="0" wrapText="1"/>
    </xf>
    <xf borderId="10" fillId="0" fontId="2" numFmtId="0" xfId="0" applyBorder="1" applyFont="1"/>
    <xf borderId="11" fillId="0" fontId="2" numFmtId="0" xfId="0" applyBorder="1" applyFont="1"/>
    <xf borderId="12" fillId="3" fontId="5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shrinkToFit="0" wrapText="1"/>
    </xf>
    <xf borderId="13" fillId="0" fontId="2" numFmtId="0" xfId="0" applyBorder="1" applyFont="1"/>
    <xf borderId="0" fillId="0" fontId="0" numFmtId="0" xfId="0" applyAlignment="1" applyFont="1">
      <alignment horizontal="left" shrinkToFit="0" vertical="top" wrapText="0"/>
    </xf>
    <xf borderId="14" fillId="0" fontId="6" numFmtId="0" xfId="0" applyAlignment="1" applyBorder="1" applyFont="1">
      <alignment horizontal="left" shrinkToFit="0" vertical="top" wrapText="0"/>
    </xf>
    <xf borderId="15" fillId="0" fontId="1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left" shrinkToFit="0" vertical="top" wrapText="0"/>
    </xf>
    <xf borderId="15" fillId="0" fontId="1" numFmtId="0" xfId="0" applyAlignment="1" applyBorder="1" applyFont="1">
      <alignment horizontal="left" shrinkToFit="0" vertical="top" wrapText="0"/>
    </xf>
    <xf borderId="12" fillId="0" fontId="1" numFmtId="0" xfId="0" applyAlignment="1" applyBorder="1" applyFont="1">
      <alignment horizontal="left" readingOrder="0" shrinkToFit="0" vertical="top" wrapText="1"/>
    </xf>
    <xf borderId="9" fillId="0" fontId="6" numFmtId="0" xfId="0" applyAlignment="1" applyBorder="1" applyFont="1">
      <alignment horizontal="left" readingOrder="0" shrinkToFit="0" vertical="top" wrapText="0"/>
    </xf>
    <xf borderId="16" fillId="0" fontId="6" numFmtId="0" xfId="0" applyAlignment="1" applyBorder="1" applyFont="1">
      <alignment vertical="top"/>
    </xf>
    <xf borderId="15" fillId="0" fontId="6" numFmtId="0" xfId="0" applyAlignment="1" applyBorder="1" applyFont="1">
      <alignment shrinkToFit="0" vertical="top" wrapText="1"/>
    </xf>
    <xf borderId="12" fillId="0" fontId="7" numFmtId="0" xfId="0" applyAlignment="1" applyBorder="1" applyFont="1">
      <alignment shrinkToFit="0" vertical="top" wrapText="1"/>
    </xf>
    <xf borderId="12" fillId="4" fontId="1" numFmtId="0" xfId="0" applyAlignment="1" applyBorder="1" applyFill="1" applyFont="1">
      <alignment readingOrder="0" shrinkToFit="0" vertical="bottom" wrapText="1"/>
    </xf>
    <xf borderId="17" fillId="0" fontId="2" numFmtId="0" xfId="0" applyBorder="1" applyFont="1"/>
    <xf borderId="15" fillId="0" fontId="6" numFmtId="0" xfId="0" applyAlignment="1" applyBorder="1" applyFont="1">
      <alignment vertical="top"/>
    </xf>
    <xf borderId="12" fillId="0" fontId="7" numFmtId="0" xfId="0" applyAlignment="1" applyBorder="1" applyFont="1">
      <alignment vertical="top"/>
    </xf>
    <xf borderId="18" fillId="0" fontId="1" numFmtId="0" xfId="0" applyAlignment="1" applyBorder="1" applyFont="1">
      <alignment horizontal="left" shrinkToFit="0" vertical="top" wrapText="0"/>
    </xf>
    <xf borderId="19" fillId="0" fontId="2" numFmtId="0" xfId="0" applyBorder="1" applyFont="1"/>
    <xf borderId="20" fillId="0" fontId="2" numFmtId="0" xfId="0" applyBorder="1" applyFont="1"/>
    <xf borderId="18" fillId="0" fontId="1" numFmtId="0" xfId="0" applyAlignment="1" applyBorder="1" applyFont="1">
      <alignment horizontal="left" readingOrder="0" shrinkToFit="0" vertical="top" wrapText="1"/>
    </xf>
    <xf borderId="21" fillId="0" fontId="2" numFmtId="0" xfId="0" applyBorder="1" applyFont="1"/>
    <xf borderId="14" fillId="0" fontId="6" numFmtId="0" xfId="0" applyAlignment="1" applyBorder="1" applyFont="1">
      <alignment horizontal="left" readingOrder="0" shrinkToFit="0" vertical="top" wrapText="0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12" fillId="0" fontId="1" numFmtId="0" xfId="0" applyAlignment="1" applyBorder="1" applyFont="1">
      <alignment horizontal="left" shrinkToFit="0" vertical="top" wrapText="1"/>
    </xf>
    <xf borderId="15" fillId="0" fontId="6" numFmtId="0" xfId="0" applyAlignment="1" applyBorder="1" applyFont="1">
      <alignment horizontal="left" shrinkToFit="0" vertical="top" wrapText="0"/>
    </xf>
    <xf borderId="18" fillId="0" fontId="1" numFmtId="0" xfId="0" applyAlignment="1" applyBorder="1" applyFont="1">
      <alignment horizontal="left" shrinkToFit="0" vertical="top" wrapText="1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15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readingOrder="0" shrinkToFit="0" vertical="top" wrapText="1"/>
    </xf>
    <xf borderId="12" fillId="0" fontId="8" numFmtId="0" xfId="0" applyAlignment="1" applyBorder="1" applyFont="1">
      <alignment horizontal="left" readingOrder="0" shrinkToFit="0" vertical="top" wrapText="1"/>
    </xf>
    <xf borderId="15" fillId="0" fontId="6" numFmtId="0" xfId="0" applyAlignment="1" applyBorder="1" applyFont="1">
      <alignment horizontal="left" readingOrder="0" shrinkToFit="0" vertical="top" wrapText="0"/>
    </xf>
    <xf borderId="16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29" fillId="0" fontId="2" numFmtId="0" xfId="0" applyBorder="1" applyFont="1"/>
    <xf borderId="0" fillId="0" fontId="1" numFmtId="0" xfId="0" applyAlignment="1" applyFont="1">
      <alignment horizontal="left" shrinkToFit="0" vertical="top" wrapText="0"/>
    </xf>
    <xf borderId="22" fillId="0" fontId="1" numFmtId="0" xfId="0" applyAlignment="1" applyBorder="1" applyFont="1">
      <alignment horizontal="left" shrinkToFit="0" vertical="top" wrapText="0"/>
    </xf>
    <xf borderId="30" fillId="0" fontId="6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readingOrder="0" shrinkToFit="0" vertical="top" wrapText="0"/>
    </xf>
    <xf borderId="31" fillId="0" fontId="2" numFmtId="0" xfId="0" applyBorder="1" applyFont="1"/>
    <xf borderId="32" fillId="0" fontId="2" numFmtId="0" xfId="0" applyBorder="1" applyFont="1"/>
    <xf borderId="33" fillId="0" fontId="6" numFmtId="0" xfId="0" applyAlignment="1" applyBorder="1" applyFont="1">
      <alignment horizontal="left" shrinkToFit="0" vertical="top" wrapText="1"/>
    </xf>
    <xf borderId="34" fillId="0" fontId="2" numFmtId="0" xfId="0" applyBorder="1" applyFont="1"/>
    <xf borderId="35" fillId="0" fontId="9" numFmtId="0" xfId="0" applyAlignment="1" applyBorder="1" applyFont="1">
      <alignment horizontal="left" shrinkToFit="0" vertical="top" wrapText="1"/>
    </xf>
    <xf borderId="36" fillId="0" fontId="2" numFmtId="0" xfId="0" applyBorder="1" applyFont="1"/>
    <xf borderId="37" fillId="0" fontId="1" numFmtId="0" xfId="0" applyAlignment="1" applyBorder="1" applyFont="1">
      <alignment horizontal="left" shrinkToFit="0" vertical="top" wrapText="1"/>
    </xf>
    <xf borderId="35" fillId="0" fontId="1" numFmtId="0" xfId="0" applyAlignment="1" applyBorder="1" applyFont="1">
      <alignment horizontal="left" shrinkToFit="0" vertical="top" wrapText="1"/>
    </xf>
    <xf borderId="38" fillId="0" fontId="2" numFmtId="0" xfId="0" applyBorder="1" applyFont="1"/>
    <xf borderId="39" fillId="0" fontId="10" numFmtId="0" xfId="0" applyAlignment="1" applyBorder="1" applyFont="1">
      <alignment horizontal="center" shrinkToFit="0" vertical="center" wrapText="1"/>
    </xf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0" fillId="0" fontId="11" numFmtId="0" xfId="0" applyAlignment="1" applyFont="1">
      <alignment horizontal="center" shrinkToFit="0" wrapText="0"/>
    </xf>
    <xf borderId="0" fillId="0" fontId="12" numFmtId="0" xfId="0" applyAlignment="1" applyFont="1">
      <alignment readingOrder="0" shrinkToFit="0" wrapText="0"/>
    </xf>
    <xf borderId="0" fillId="0" fontId="0" numFmtId="0" xfId="0" applyAlignment="1" applyFont="1">
      <alignment shrinkToFit="0" wrapText="0"/>
    </xf>
    <xf borderId="0" fillId="0" fontId="12" numFmtId="0" xfId="0" applyAlignment="1" applyFont="1">
      <alignment horizontal="right" readingOrder="0" shrinkToFit="0" wrapText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42" fillId="0" fontId="13" numFmtId="0" xfId="0" applyAlignment="1" applyBorder="1" applyFont="1">
      <alignment vertical="bottom"/>
    </xf>
    <xf borderId="42" fillId="0" fontId="15" numFmtId="0" xfId="0" applyAlignment="1" applyBorder="1" applyFont="1">
      <alignment vertical="bottom"/>
    </xf>
    <xf borderId="28" fillId="0" fontId="13" numFmtId="0" xfId="0" applyAlignment="1" applyBorder="1" applyFont="1">
      <alignment vertical="bottom"/>
    </xf>
    <xf borderId="5" fillId="0" fontId="16" numFmtId="0" xfId="0" applyAlignment="1" applyBorder="1" applyFont="1">
      <alignment horizontal="center" vertical="bottom"/>
    </xf>
    <xf borderId="5" fillId="0" fontId="16" numFmtId="0" xfId="0" applyAlignment="1" applyBorder="1" applyFont="1">
      <alignment horizontal="center" readingOrder="0" vertical="bottom"/>
    </xf>
    <xf borderId="8" fillId="0" fontId="16" numFmtId="0" xfId="0" applyAlignment="1" applyBorder="1" applyFont="1">
      <alignment horizontal="center" readingOrder="0" vertical="bottom"/>
    </xf>
    <xf borderId="43" fillId="0" fontId="17" numFmtId="0" xfId="0" applyAlignment="1" applyBorder="1" applyFont="1">
      <alignment shrinkToFit="0" vertical="bottom" wrapText="1"/>
    </xf>
    <xf borderId="44" fillId="0" fontId="2" numFmtId="0" xfId="0" applyBorder="1" applyFont="1"/>
    <xf borderId="0" fillId="0" fontId="13" numFmtId="0" xfId="0" applyAlignment="1" applyFont="1">
      <alignment vertical="bottom"/>
    </xf>
    <xf borderId="45" fillId="0" fontId="13" numFmtId="0" xfId="0" applyAlignment="1" applyBorder="1" applyFont="1">
      <alignment vertical="bottom"/>
    </xf>
    <xf borderId="46" fillId="0" fontId="16" numFmtId="0" xfId="0" applyAlignment="1" applyBorder="1" applyFont="1">
      <alignment horizontal="center" vertical="bottom"/>
    </xf>
    <xf borderId="45" fillId="0" fontId="16" numFmtId="0" xfId="0" applyAlignment="1" applyBorder="1" applyFont="1">
      <alignment horizontal="center" vertical="bottom"/>
    </xf>
    <xf borderId="42" fillId="0" fontId="2" numFmtId="0" xfId="0" applyBorder="1" applyFont="1"/>
    <xf borderId="45" fillId="0" fontId="2" numFmtId="0" xfId="0" applyBorder="1" applyFont="1"/>
    <xf borderId="47" fillId="0" fontId="18" numFmtId="0" xfId="0" applyAlignment="1" applyBorder="1" applyFont="1">
      <alignment horizontal="center" textRotation="90" vertical="center"/>
    </xf>
    <xf borderId="25" fillId="0" fontId="18" numFmtId="49" xfId="0" applyAlignment="1" applyBorder="1" applyFont="1" applyNumberFormat="1">
      <alignment horizontal="center" vertical="bottom"/>
    </xf>
    <xf borderId="15" fillId="0" fontId="19" numFmtId="0" xfId="0" applyAlignment="1" applyBorder="1" applyFont="1">
      <alignment vertical="bottom"/>
    </xf>
    <xf borderId="15" fillId="0" fontId="19" numFmtId="0" xfId="0" applyAlignment="1" applyBorder="1" applyFont="1">
      <alignment readingOrder="0" vertical="bottom"/>
    </xf>
    <xf borderId="23" fillId="0" fontId="19" numFmtId="0" xfId="0" applyAlignment="1" applyBorder="1" applyFont="1">
      <alignment horizontal="center" readingOrder="0" vertical="bottom"/>
    </xf>
    <xf borderId="12" fillId="0" fontId="19" numFmtId="0" xfId="0" applyAlignment="1" applyBorder="1" applyFont="1">
      <alignment horizontal="center" readingOrder="0" vertical="bottom"/>
    </xf>
    <xf borderId="12" fillId="0" fontId="20" numFmtId="0" xfId="0" applyAlignment="1" applyBorder="1" applyFont="1">
      <alignment horizontal="center" vertical="top"/>
    </xf>
    <xf borderId="24" fillId="0" fontId="13" numFmtId="0" xfId="0" applyAlignment="1" applyBorder="1" applyFont="1">
      <alignment vertical="bottom"/>
    </xf>
    <xf borderId="25" fillId="0" fontId="13" numFmtId="0" xfId="0" applyAlignment="1" applyBorder="1" applyFont="1">
      <alignment vertical="bottom"/>
    </xf>
    <xf borderId="23" fillId="5" fontId="18" numFmtId="0" xfId="0" applyAlignment="1" applyBorder="1" applyFill="1" applyFont="1">
      <alignment horizontal="center" vertical="bottom"/>
    </xf>
    <xf borderId="24" fillId="0" fontId="15" numFmtId="0" xfId="0" applyAlignment="1" applyBorder="1" applyFont="1">
      <alignment vertical="bottom"/>
    </xf>
    <xf borderId="25" fillId="0" fontId="15" numFmtId="0" xfId="0" applyAlignment="1" applyBorder="1" applyFont="1">
      <alignment vertical="bottom"/>
    </xf>
    <xf borderId="47" fillId="0" fontId="2" numFmtId="0" xfId="0" applyBorder="1" applyFont="1"/>
    <xf borderId="48" fillId="0" fontId="13" numFmtId="0" xfId="0" applyAlignment="1" applyBorder="1" applyFont="1">
      <alignment vertical="bottom"/>
    </xf>
    <xf borderId="24" fillId="0" fontId="13" numFmtId="0" xfId="0" applyAlignment="1" applyBorder="1" applyFont="1">
      <alignment vertical="bottom"/>
    </xf>
    <xf borderId="24" fillId="0" fontId="19" numFmtId="0" xfId="0" applyAlignment="1" applyBorder="1" applyFont="1">
      <alignment vertical="bottom"/>
    </xf>
    <xf borderId="23" fillId="5" fontId="18" numFmtId="0" xfId="0" applyAlignment="1" applyBorder="1" applyFont="1">
      <alignment horizontal="center" readingOrder="0" vertical="bottom"/>
    </xf>
    <xf borderId="24" fillId="0" fontId="15" numFmtId="0" xfId="0" applyAlignment="1" applyBorder="1" applyFont="1">
      <alignment vertical="bottom"/>
    </xf>
    <xf borderId="25" fillId="0" fontId="15" numFmtId="0" xfId="0" applyAlignment="1" applyBorder="1" applyFont="1">
      <alignment vertical="bottom"/>
    </xf>
    <xf borderId="25" fillId="0" fontId="13" numFmtId="0" xfId="0" applyAlignment="1" applyBorder="1" applyFont="1">
      <alignment vertical="bottom"/>
    </xf>
    <xf borderId="23" fillId="0" fontId="19" numFmtId="0" xfId="0" applyAlignment="1" applyBorder="1" applyFont="1">
      <alignment horizontal="left" readingOrder="0" vertical="bottom"/>
    </xf>
    <xf borderId="23" fillId="0" fontId="19" numFmtId="0" xfId="0" applyAlignment="1" applyBorder="1" applyFont="1">
      <alignment horizontal="right" readingOrder="0" vertical="bottom"/>
    </xf>
    <xf borderId="25" fillId="0" fontId="19" numFmtId="0" xfId="0" applyAlignment="1" applyBorder="1" applyFont="1">
      <alignment horizontal="center" readingOrder="0" vertical="bottom"/>
    </xf>
    <xf borderId="24" fillId="0" fontId="19" numFmtId="0" xfId="0" applyAlignment="1" applyBorder="1" applyFont="1">
      <alignment horizontal="right" vertical="bottom"/>
    </xf>
    <xf borderId="23" fillId="0" fontId="19" numFmtId="0" xfId="0" applyAlignment="1" applyBorder="1" applyFont="1">
      <alignment vertical="bottom"/>
    </xf>
    <xf borderId="25" fillId="0" fontId="19" numFmtId="0" xfId="0" applyAlignment="1" applyBorder="1" applyFont="1">
      <alignment horizontal="right" vertical="bottom"/>
    </xf>
    <xf borderId="28" fillId="0" fontId="18" numFmtId="49" xfId="0" applyAlignment="1" applyBorder="1" applyFont="1" applyNumberFormat="1">
      <alignment horizontal="center" vertical="bottom"/>
    </xf>
    <xf borderId="27" fillId="0" fontId="13" numFmtId="0" xfId="0" applyAlignment="1" applyBorder="1" applyFont="1">
      <alignment vertical="bottom"/>
    </xf>
    <xf borderId="27" fillId="0" fontId="15" numFmtId="0" xfId="0" applyAlignment="1" applyBorder="1" applyFont="1">
      <alignment vertical="bottom"/>
    </xf>
    <xf borderId="28" fillId="0" fontId="15" numFmtId="0" xfId="0" applyAlignment="1" applyBorder="1" applyFont="1">
      <alignment vertical="bottom"/>
    </xf>
    <xf borderId="49" fillId="0" fontId="2" numFmtId="0" xfId="0" applyBorder="1" applyFont="1"/>
    <xf borderId="46" fillId="0" fontId="2" numFmtId="0" xfId="0" applyBorder="1" applyFont="1"/>
    <xf borderId="24" fillId="0" fontId="19" numFmtId="0" xfId="0" applyAlignment="1" applyBorder="1" applyFont="1">
      <alignment vertical="bottom"/>
    </xf>
    <xf borderId="25" fillId="0" fontId="19" numFmtId="0" xfId="0" applyAlignment="1" applyBorder="1" applyFont="1">
      <alignment vertical="bottom"/>
    </xf>
    <xf borderId="10" fillId="0" fontId="19" numFmtId="0" xfId="0" applyAlignment="1" applyBorder="1" applyFont="1">
      <alignment horizontal="center" readingOrder="0" vertical="bottom"/>
    </xf>
    <xf borderId="50" fillId="0" fontId="19" numFmtId="0" xfId="0" applyAlignment="1" applyBorder="1" applyFont="1">
      <alignment vertical="bottom"/>
    </xf>
    <xf borderId="50" fillId="0" fontId="19" numFmtId="0" xfId="0" applyAlignment="1" applyBorder="1" applyFont="1">
      <alignment readingOrder="0" vertical="bottom"/>
    </xf>
    <xf borderId="0" fillId="0" fontId="18" numFmtId="49" xfId="0" applyAlignment="1" applyFont="1" applyNumberFormat="1">
      <alignment horizontal="center" vertical="bottom"/>
    </xf>
    <xf borderId="17" fillId="0" fontId="13" numFmtId="0" xfId="0" applyAlignment="1" applyBorder="1" applyFont="1">
      <alignment vertical="bottom"/>
    </xf>
    <xf borderId="23" fillId="0" fontId="19" numFmtId="0" xfId="0" applyAlignment="1" applyBorder="1" applyFont="1">
      <alignment horizontal="right" vertical="bottom"/>
    </xf>
    <xf borderId="25" fillId="0" fontId="19" numFmtId="0" xfId="0" applyAlignment="1" applyBorder="1" applyFont="1">
      <alignment vertical="bottom"/>
    </xf>
    <xf borderId="27" fillId="0" fontId="19" numFmtId="0" xfId="0" applyAlignment="1" applyBorder="1" applyFont="1">
      <alignment vertical="bottom"/>
    </xf>
    <xf borderId="28" fillId="0" fontId="19" numFmtId="0" xfId="0" applyAlignment="1" applyBorder="1" applyFont="1">
      <alignment vertical="bottom"/>
    </xf>
    <xf borderId="23" fillId="0" fontId="18" numFmtId="49" xfId="0" applyAlignment="1" applyBorder="1" applyFont="1" applyNumberFormat="1">
      <alignment horizontal="center" vertical="bottom"/>
    </xf>
    <xf borderId="51" fillId="0" fontId="2" numFmtId="0" xfId="0" applyBorder="1" applyFont="1"/>
    <xf borderId="52" fillId="0" fontId="2" numFmtId="0" xfId="0" applyBorder="1" applyFont="1"/>
    <xf borderId="52" fillId="0" fontId="13" numFmtId="0" xfId="0" applyAlignment="1" applyBorder="1" applyFont="1">
      <alignment vertical="bottom"/>
    </xf>
    <xf borderId="11" fillId="0" fontId="19" numFmtId="0" xfId="0" applyAlignment="1" applyBorder="1" applyFont="1">
      <alignment vertical="bottom"/>
    </xf>
    <xf borderId="14" fillId="0" fontId="2" numFmtId="0" xfId="0" applyBorder="1" applyFont="1"/>
    <xf borderId="15" fillId="0" fontId="2" numFmtId="0" xfId="0" applyBorder="1" applyFont="1"/>
    <xf borderId="11" fillId="0" fontId="19" numFmtId="0" xfId="0" applyAlignment="1" applyBorder="1" applyFont="1">
      <alignment readingOrder="0" vertical="bottom"/>
    </xf>
    <xf borderId="50" fillId="0" fontId="19" numFmtId="0" xfId="0" applyAlignment="1" applyBorder="1" applyFont="1">
      <alignment horizontal="center" readingOrder="0" vertical="bottom"/>
    </xf>
    <xf borderId="50" fillId="0" fontId="2" numFmtId="0" xfId="0" applyBorder="1" applyFont="1"/>
    <xf borderId="15" fillId="0" fontId="13" numFmtId="0" xfId="0" applyAlignment="1" applyBorder="1" applyFont="1">
      <alignment vertical="bottom"/>
    </xf>
    <xf borderId="50" fillId="0" fontId="13" numFmtId="0" xfId="0" applyAlignment="1" applyBorder="1" applyFont="1">
      <alignment vertical="bottom"/>
    </xf>
    <xf borderId="9" fillId="0" fontId="19" numFmtId="0" xfId="0" applyAlignment="1" applyBorder="1" applyFont="1">
      <alignment horizontal="center" readingOrder="0" vertical="bottom"/>
    </xf>
    <xf borderId="11" fillId="0" fontId="21" numFmtId="0" xfId="0" applyAlignment="1" applyBorder="1" applyFont="1">
      <alignment readingOrder="0" vertical="bottom"/>
    </xf>
    <xf borderId="14" fillId="0" fontId="13" numFmtId="0" xfId="0" applyAlignment="1" applyBorder="1" applyFont="1">
      <alignment vertical="bottom"/>
    </xf>
    <xf borderId="12" fillId="0" fontId="21" numFmtId="0" xfId="0" applyAlignment="1" applyBorder="1" applyFont="1">
      <alignment horizontal="center" readingOrder="0" vertical="bottom"/>
    </xf>
    <xf borderId="50" fillId="0" fontId="21" numFmtId="0" xfId="0" applyAlignment="1" applyBorder="1" applyFont="1">
      <alignment readingOrder="0" vertical="bottom"/>
    </xf>
    <xf borderId="42" fillId="0" fontId="18" numFmtId="49" xfId="0" applyAlignment="1" applyBorder="1" applyFont="1" applyNumberFormat="1">
      <alignment horizontal="center" vertical="bottom"/>
    </xf>
    <xf borderId="33" fillId="2" fontId="22" numFmtId="0" xfId="0" applyAlignment="1" applyBorder="1" applyFont="1">
      <alignment horizontal="center" readingOrder="0"/>
    </xf>
    <xf borderId="24" fillId="0" fontId="21" numFmtId="0" xfId="0" applyAlignment="1" applyBorder="1" applyFont="1">
      <alignment readingOrder="0" vertical="bottom"/>
    </xf>
    <xf borderId="25" fillId="0" fontId="21" numFmtId="0" xfId="0" applyAlignment="1" applyBorder="1" applyFont="1">
      <alignment readingOrder="0" vertical="bottom"/>
    </xf>
    <xf borderId="23" fillId="5" fontId="18" numFmtId="0" xfId="0" applyAlignment="1" applyBorder="1" applyFont="1">
      <alignment horizontal="center" vertical="bottom"/>
    </xf>
    <xf borderId="25" fillId="0" fontId="19" numFmtId="0" xfId="0" applyAlignment="1" applyBorder="1" applyFont="1">
      <alignment horizontal="left" readingOrder="0" vertical="bottom"/>
    </xf>
    <xf borderId="23" fillId="0" fontId="21" numFmtId="0" xfId="0" applyAlignment="1" applyBorder="1" applyFont="1">
      <alignment horizontal="right" readingOrder="0" vertical="bottom"/>
    </xf>
    <xf borderId="32" fillId="5" fontId="18" numFmtId="0" xfId="0" applyAlignment="1" applyBorder="1" applyFont="1">
      <alignment horizontal="center" readingOrder="0" vertical="bottom"/>
    </xf>
    <xf borderId="45" fillId="0" fontId="18" numFmtId="49" xfId="0" applyAlignment="1" applyBorder="1" applyFont="1" applyNumberFormat="1">
      <alignment horizontal="center" vertical="bottom"/>
    </xf>
    <xf borderId="46" fillId="0" fontId="13" numFmtId="0" xfId="0" applyAlignment="1" applyBorder="1" applyFont="1">
      <alignment vertical="bottom"/>
    </xf>
    <xf borderId="46" fillId="0" fontId="15" numFmtId="0" xfId="0" applyAlignment="1" applyBorder="1" applyFont="1">
      <alignment vertical="bottom"/>
    </xf>
    <xf borderId="45" fillId="0" fontId="15" numFmtId="0" xfId="0" applyAlignment="1" applyBorder="1" applyFont="1">
      <alignment vertical="bottom"/>
    </xf>
    <xf borderId="24" fillId="0" fontId="19" numFmtId="0" xfId="0" applyAlignment="1" applyBorder="1" applyFont="1">
      <alignment horizontal="center" vertical="bottom"/>
    </xf>
    <xf borderId="50" fillId="0" fontId="20" numFmtId="0" xfId="0" applyAlignment="1" applyBorder="1" applyFont="1">
      <alignment horizontal="center" readingOrder="0" vertical="top"/>
    </xf>
    <xf borderId="0" fillId="0" fontId="23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24" numFmtId="0" xfId="0" applyAlignment="1" applyFont="1">
      <alignment readingOrder="0" shrinkToFit="0" vertical="bottom" wrapText="0"/>
    </xf>
    <xf borderId="0" fillId="0" fontId="13" numFmtId="14" xfId="0" applyAlignment="1" applyFont="1" applyNumberFormat="1">
      <alignment vertical="bottom"/>
    </xf>
    <xf borderId="0" fillId="2" fontId="0" numFmtId="0" xfId="0" applyAlignment="1" applyFont="1">
      <alignment readingOrder="0" shrinkToFit="0" wrapText="1"/>
    </xf>
    <xf borderId="0" fillId="0" fontId="14" numFmtId="14" xfId="0" applyAlignment="1" applyFont="1" applyNumberFormat="1">
      <alignment horizontal="left" readingOrder="0" vertical="bottom"/>
    </xf>
    <xf borderId="0" fillId="0" fontId="25" numFmtId="0" xfId="0" applyFont="1"/>
    <xf borderId="0" fillId="0" fontId="19" numFmtId="0" xfId="0" applyAlignment="1" applyFont="1">
      <alignment readingOrder="0" vertical="bottom"/>
    </xf>
    <xf borderId="0" fillId="0" fontId="19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26" numFmtId="0" xfId="0" applyAlignment="1" applyFont="1">
      <alignment shrinkToFit="0" wrapText="0"/>
    </xf>
    <xf borderId="0" fillId="0" fontId="27" numFmtId="0" xfId="0" applyAlignment="1" applyFont="1">
      <alignment horizontal="center" readingOrder="0" shrinkToFit="0" vertical="center" wrapText="0"/>
    </xf>
    <xf borderId="0" fillId="0" fontId="28" numFmtId="0" xfId="0" applyAlignment="1" applyFont="1">
      <alignment shrinkToFit="0" wrapText="0"/>
    </xf>
    <xf borderId="27" fillId="0" fontId="28" numFmtId="0" xfId="0" applyAlignment="1" applyBorder="1" applyFont="1">
      <alignment shrinkToFit="0" wrapText="0"/>
    </xf>
    <xf borderId="4" fillId="0" fontId="16" numFmtId="0" xfId="0" applyAlignment="1" applyBorder="1" applyFont="1">
      <alignment horizontal="center" readingOrder="0" shrinkToFit="0" vertical="center" wrapText="0"/>
    </xf>
    <xf borderId="5" fillId="0" fontId="16" numFmtId="0" xfId="0" applyAlignment="1" applyBorder="1" applyFont="1">
      <alignment horizontal="center" readingOrder="0" shrinkToFit="0" vertical="center" wrapText="0"/>
    </xf>
    <xf borderId="46" fillId="0" fontId="16" numFmtId="0" xfId="0" applyAlignment="1" applyBorder="1" applyFont="1">
      <alignment horizontal="center" shrinkToFit="0" wrapText="0"/>
    </xf>
    <xf borderId="45" fillId="0" fontId="16" numFmtId="0" xfId="0" applyAlignment="1" applyBorder="1" applyFont="1">
      <alignment horizontal="center" shrinkToFit="0" wrapText="0"/>
    </xf>
    <xf borderId="29" fillId="0" fontId="16" numFmtId="0" xfId="0" applyAlignment="1" applyBorder="1" applyFont="1">
      <alignment horizontal="center" shrinkToFit="0" wrapText="0"/>
    </xf>
    <xf borderId="27" fillId="0" fontId="16" numFmtId="0" xfId="0" applyAlignment="1" applyBorder="1" applyFont="1">
      <alignment horizontal="center" shrinkToFit="0" wrapText="0"/>
    </xf>
    <xf borderId="28" fillId="0" fontId="16" numFmtId="0" xfId="0" applyAlignment="1" applyBorder="1" applyFont="1">
      <alignment horizontal="center" shrinkToFit="0" wrapText="0"/>
    </xf>
    <xf borderId="53" fillId="0" fontId="18" numFmtId="0" xfId="0" applyAlignment="1" applyBorder="1" applyFont="1">
      <alignment shrinkToFit="0" textRotation="255" vertical="center" wrapText="0"/>
    </xf>
    <xf borderId="54" fillId="0" fontId="16" numFmtId="49" xfId="0" applyAlignment="1" applyBorder="1" applyFont="1" applyNumberFormat="1">
      <alignment horizontal="center" shrinkToFit="0" wrapText="0"/>
    </xf>
    <xf borderId="9" fillId="5" fontId="29" numFmtId="0" xfId="0" applyAlignment="1" applyBorder="1" applyFont="1">
      <alignment horizontal="center" readingOrder="0" shrinkToFit="0" vertical="center" wrapText="0"/>
    </xf>
    <xf borderId="51" fillId="0" fontId="28" numFmtId="0" xfId="0" applyAlignment="1" applyBorder="1" applyFont="1">
      <alignment shrinkToFit="0" wrapText="0"/>
    </xf>
    <xf borderId="52" fillId="0" fontId="28" numFmtId="0" xfId="0" applyAlignment="1" applyBorder="1" applyFont="1">
      <alignment shrinkToFit="0" wrapText="0"/>
    </xf>
    <xf borderId="10" fillId="0" fontId="30" numFmtId="0" xfId="0" applyAlignment="1" applyBorder="1" applyFont="1">
      <alignment horizontal="right" readingOrder="0" shrinkToFit="0" vertical="top" wrapText="0"/>
    </xf>
    <xf borderId="6" fillId="0" fontId="28" numFmtId="0" xfId="0" applyAlignment="1" applyBorder="1" applyFont="1">
      <alignment shrinkToFit="0" wrapText="0"/>
    </xf>
    <xf borderId="55" fillId="0" fontId="28" numFmtId="0" xfId="0" applyAlignment="1" applyBorder="1" applyFont="1">
      <alignment shrinkToFit="0" wrapText="0"/>
    </xf>
    <xf borderId="56" fillId="0" fontId="16" numFmtId="49" xfId="0" applyAlignment="1" applyBorder="1" applyFont="1" applyNumberFormat="1">
      <alignment horizontal="center" shrinkToFit="0" wrapText="0"/>
    </xf>
    <xf borderId="57" fillId="5" fontId="29" numFmtId="0" xfId="0" applyAlignment="1" applyBorder="1" applyFont="1">
      <alignment horizontal="center" readingOrder="0" shrinkToFit="0" wrapText="0"/>
    </xf>
    <xf borderId="58" fillId="0" fontId="2" numFmtId="0" xfId="0" applyBorder="1" applyFont="1"/>
    <xf borderId="59" fillId="0" fontId="2" numFmtId="0" xfId="0" applyBorder="1" applyFont="1"/>
    <xf borderId="11" fillId="0" fontId="28" numFmtId="0" xfId="0" applyAlignment="1" applyBorder="1" applyFont="1">
      <alignment shrinkToFit="0" wrapText="0"/>
    </xf>
    <xf borderId="23" fillId="0" fontId="28" numFmtId="0" xfId="0" applyAlignment="1" applyBorder="1" applyFont="1">
      <alignment horizontal="center" readingOrder="0" shrinkToFit="0" wrapText="0"/>
    </xf>
    <xf borderId="24" fillId="0" fontId="28" numFmtId="0" xfId="0" applyAlignment="1" applyBorder="1" applyFont="1">
      <alignment shrinkToFit="0" wrapText="0"/>
    </xf>
    <xf borderId="25" fillId="0" fontId="28" numFmtId="0" xfId="0" applyAlignment="1" applyBorder="1" applyFont="1">
      <alignment shrinkToFit="0" wrapText="0"/>
    </xf>
    <xf borderId="9" fillId="5" fontId="29" numFmtId="0" xfId="0" applyAlignment="1" applyBorder="1" applyFont="1">
      <alignment horizontal="center" readingOrder="0" shrinkToFit="0" wrapText="0"/>
    </xf>
    <xf borderId="10" fillId="0" fontId="30" numFmtId="0" xfId="0" applyAlignment="1" applyBorder="1" applyFont="1">
      <alignment horizontal="left" readingOrder="0" shrinkToFit="0" vertical="top" wrapText="0"/>
    </xf>
    <xf borderId="10" fillId="0" fontId="30" numFmtId="0" xfId="0" applyAlignment="1" applyBorder="1" applyFont="1">
      <alignment horizontal="center" readingOrder="0" vertical="top"/>
    </xf>
    <xf borderId="11" fillId="0" fontId="30" numFmtId="0" xfId="0" applyAlignment="1" applyBorder="1" applyFont="1">
      <alignment shrinkToFit="0" wrapText="0"/>
    </xf>
    <xf borderId="15" fillId="0" fontId="30" numFmtId="0" xfId="0" applyAlignment="1" applyBorder="1" applyFont="1">
      <alignment shrinkToFit="0" wrapText="0"/>
    </xf>
    <xf borderId="24" fillId="0" fontId="30" numFmtId="0" xfId="0" applyAlignment="1" applyBorder="1" applyFont="1">
      <alignment shrinkToFit="0" wrapText="0"/>
    </xf>
    <xf borderId="25" fillId="0" fontId="30" numFmtId="0" xfId="0" applyAlignment="1" applyBorder="1" applyFont="1">
      <alignment shrinkToFit="0" wrapText="0"/>
    </xf>
    <xf borderId="60" fillId="0" fontId="2" numFmtId="0" xfId="0" applyBorder="1" applyFont="1"/>
    <xf borderId="49" fillId="0" fontId="16" numFmtId="49" xfId="0" applyAlignment="1" applyBorder="1" applyFont="1" applyNumberFormat="1">
      <alignment horizontal="center" shrinkToFit="0" wrapText="0"/>
    </xf>
    <xf borderId="61" fillId="0" fontId="28" numFmtId="0" xfId="0" applyAlignment="1" applyBorder="1" applyFont="1">
      <alignment shrinkToFit="0" wrapText="0"/>
    </xf>
    <xf borderId="46" fillId="0" fontId="28" numFmtId="0" xfId="0" applyAlignment="1" applyBorder="1" applyFont="1">
      <alignment shrinkToFit="0" wrapText="0"/>
    </xf>
    <xf borderId="20" fillId="0" fontId="28" numFmtId="0" xfId="0" applyAlignment="1" applyBorder="1" applyFont="1">
      <alignment shrinkToFit="0" wrapText="0"/>
    </xf>
    <xf borderId="21" fillId="0" fontId="28" numFmtId="0" xfId="0" applyAlignment="1" applyBorder="1" applyFont="1">
      <alignment shrinkToFit="0" wrapText="0"/>
    </xf>
    <xf borderId="45" fillId="0" fontId="28" numFmtId="0" xfId="0" applyAlignment="1" applyBorder="1" applyFont="1">
      <alignment shrinkToFit="0" wrapText="0"/>
    </xf>
    <xf borderId="23" fillId="0" fontId="30" numFmtId="0" xfId="0" applyAlignment="1" applyBorder="1" applyFont="1">
      <alignment horizontal="center" readingOrder="0" shrinkToFit="0" wrapText="0"/>
    </xf>
    <xf borderId="32" fillId="0" fontId="30" numFmtId="0" xfId="0" applyAlignment="1" applyBorder="1" applyFont="1">
      <alignment horizontal="center" readingOrder="0" shrinkToFit="0" wrapText="0"/>
    </xf>
    <xf borderId="22" fillId="0" fontId="30" numFmtId="0" xfId="0" applyAlignment="1" applyBorder="1" applyFont="1">
      <alignment horizontal="center" readingOrder="0" shrinkToFit="0" wrapText="0"/>
    </xf>
    <xf borderId="12" fillId="0" fontId="30" numFmtId="0" xfId="0" applyAlignment="1" applyBorder="1" applyFont="1">
      <alignment horizontal="center" readingOrder="0" vertical="top"/>
    </xf>
    <xf borderId="24" fillId="0" fontId="0" numFmtId="0" xfId="0" applyAlignment="1" applyBorder="1" applyFont="1">
      <alignment shrinkToFit="0" wrapText="0"/>
    </xf>
    <xf borderId="25" fillId="0" fontId="0" numFmtId="0" xfId="0" applyAlignment="1" applyBorder="1" applyFont="1">
      <alignment shrinkToFit="0" wrapText="0"/>
    </xf>
    <xf borderId="14" fillId="0" fontId="28" numFmtId="0" xfId="0" applyAlignment="1" applyBorder="1" applyFont="1">
      <alignment shrinkToFit="0" wrapText="0"/>
    </xf>
    <xf borderId="15" fillId="0" fontId="28" numFmtId="0" xfId="0" applyAlignment="1" applyBorder="1" applyFont="1">
      <alignment shrinkToFit="0" wrapText="0"/>
    </xf>
    <xf borderId="25" fillId="0" fontId="28" numFmtId="0" xfId="0" applyAlignment="1" applyBorder="1" applyFont="1">
      <alignment horizontal="center" readingOrder="0" shrinkToFit="0" wrapText="0"/>
    </xf>
    <xf borderId="24" fillId="0" fontId="28" numFmtId="0" xfId="0" applyAlignment="1" applyBorder="1" applyFont="1">
      <alignment horizontal="center" readingOrder="0" shrinkToFit="0" wrapText="0"/>
    </xf>
    <xf borderId="17" fillId="0" fontId="28" numFmtId="0" xfId="0" applyAlignment="1" applyBorder="1" applyFont="1">
      <alignment shrinkToFit="0" wrapText="0"/>
    </xf>
    <xf borderId="46" fillId="0" fontId="0" numFmtId="0" xfId="0" applyAlignment="1" applyBorder="1" applyFont="1">
      <alignment shrinkToFit="0" wrapText="0"/>
    </xf>
    <xf borderId="45" fillId="0" fontId="0" numFmtId="0" xfId="0" applyAlignment="1" applyBorder="1" applyFont="1">
      <alignment shrinkToFit="0" wrapText="0"/>
    </xf>
    <xf borderId="32" fillId="5" fontId="29" numFmtId="0" xfId="0" applyAlignment="1" applyBorder="1" applyFont="1">
      <alignment horizontal="center" readingOrder="0" shrinkToFit="0" wrapText="0"/>
    </xf>
    <xf borderId="50" fillId="0" fontId="28" numFmtId="0" xfId="0" applyAlignment="1" applyBorder="1" applyFont="1">
      <alignment shrinkToFit="0" wrapText="0"/>
    </xf>
    <xf borderId="9" fillId="0" fontId="30" numFmtId="0" xfId="0" applyAlignment="1" applyBorder="1" applyFont="1">
      <alignment horizontal="left" readingOrder="0" shrinkToFit="0" vertical="top" wrapText="0"/>
    </xf>
    <xf borderId="42" fillId="2" fontId="31" numFmtId="0" xfId="0" applyAlignment="1" applyBorder="1" applyFont="1">
      <alignment horizontal="center" readingOrder="0"/>
    </xf>
    <xf borderId="0" fillId="0" fontId="29" numFmtId="0" xfId="0" applyAlignment="1" applyFont="1">
      <alignment horizontal="center" shrinkToFit="0" wrapText="0"/>
    </xf>
    <xf borderId="0" fillId="0" fontId="21" numFmtId="0" xfId="0" applyAlignment="1" applyFont="1">
      <alignment readingOrder="0" shrinkToFit="0" wrapText="0"/>
    </xf>
    <xf borderId="0" fillId="0" fontId="21" numFmtId="0" xfId="0" applyAlignment="1" applyFont="1">
      <alignment shrinkToFit="0" wrapText="0"/>
    </xf>
    <xf borderId="22" fillId="0" fontId="30" numFmtId="0" xfId="0" applyAlignment="1" applyBorder="1" applyFont="1">
      <alignment horizontal="center" readingOrder="0" vertical="top"/>
    </xf>
    <xf borderId="0" fillId="0" fontId="18" numFmtId="0" xfId="0" applyAlignment="1" applyFont="1">
      <alignment horizontal="center" shrinkToFit="0" wrapText="0"/>
    </xf>
    <xf borderId="48" fillId="0" fontId="28" numFmtId="0" xfId="0" applyAlignment="1" applyBorder="1" applyFont="1">
      <alignment horizontal="center" readingOrder="0" shrinkToFit="0" wrapText="0"/>
    </xf>
    <xf borderId="62" fillId="0" fontId="28" numFmtId="0" xfId="0" applyAlignment="1" applyBorder="1" applyFont="1">
      <alignment shrinkToFit="0" wrapText="0"/>
    </xf>
    <xf borderId="63" fillId="0" fontId="28" numFmtId="0" xfId="0" applyAlignment="1" applyBorder="1" applyFont="1">
      <alignment shrinkToFit="0" wrapText="0"/>
    </xf>
    <xf borderId="52" fillId="0" fontId="28" numFmtId="0" xfId="0" applyAlignment="1" applyBorder="1" applyFont="1">
      <alignment horizontal="center" readingOrder="0" shrinkToFit="0" wrapText="0"/>
    </xf>
    <xf borderId="17" fillId="0" fontId="28" numFmtId="0" xfId="0" applyAlignment="1" applyBorder="1" applyFont="1">
      <alignment horizontal="center" readingOrder="0" shrinkToFit="0" wrapText="0"/>
    </xf>
    <xf borderId="14" fillId="0" fontId="28" numFmtId="0" xfId="0" applyAlignment="1" applyBorder="1" applyFont="1">
      <alignment horizontal="center" readingOrder="0" shrinkToFit="0" wrapText="0"/>
    </xf>
    <xf borderId="0" fillId="0" fontId="0" numFmtId="14" xfId="0" applyAlignment="1" applyFont="1" applyNumberFormat="1">
      <alignment horizontal="left" shrinkToFit="0" wrapText="0"/>
    </xf>
    <xf borderId="0" fillId="0" fontId="32" numFmtId="0" xfId="0" applyAlignment="1" applyFont="1">
      <alignment readingOrder="0"/>
    </xf>
    <xf borderId="0" fillId="0" fontId="0" numFmtId="0" xfId="0" applyAlignment="1" applyFont="1">
      <alignment readingOrder="0" shrinkToFit="0" wrapText="1"/>
    </xf>
    <xf borderId="0" fillId="0" fontId="29" numFmtId="0" xfId="0" applyAlignment="1" applyFont="1">
      <alignment horizontal="center" readingOrder="0" shrinkToFit="0" wrapText="0"/>
    </xf>
    <xf borderId="4" fillId="0" fontId="16" numFmtId="0" xfId="0" applyAlignment="1" applyBorder="1" applyFont="1">
      <alignment horizontal="center" shrinkToFit="0" wrapText="0"/>
    </xf>
    <xf borderId="5" fillId="0" fontId="16" numFmtId="0" xfId="0" applyAlignment="1" applyBorder="1" applyFont="1">
      <alignment horizontal="center" readingOrder="0" shrinkToFit="0" wrapText="0"/>
    </xf>
    <xf borderId="61" fillId="0" fontId="16" numFmtId="0" xfId="0" applyAlignment="1" applyBorder="1" applyFont="1">
      <alignment horizontal="center" shrinkToFit="0" wrapText="0"/>
    </xf>
    <xf borderId="54" fillId="0" fontId="18" numFmtId="49" xfId="0" applyAlignment="1" applyBorder="1" applyFont="1" applyNumberFormat="1">
      <alignment horizontal="center" shrinkToFit="0" wrapText="0"/>
    </xf>
    <xf borderId="17" fillId="0" fontId="19" numFmtId="0" xfId="0" applyAlignment="1" applyBorder="1" applyFont="1">
      <alignment shrinkToFit="0" wrapText="0"/>
    </xf>
    <xf borderId="24" fillId="0" fontId="19" numFmtId="0" xfId="0" applyAlignment="1" applyBorder="1" applyFont="1">
      <alignment shrinkToFit="0" wrapText="0"/>
    </xf>
    <xf borderId="48" fillId="0" fontId="21" numFmtId="0" xfId="0" applyAlignment="1" applyBorder="1" applyFont="1">
      <alignment vertical="bottom"/>
    </xf>
    <xf borderId="15" fillId="0" fontId="33" numFmtId="0" xfId="0" applyAlignment="1" applyBorder="1" applyFont="1">
      <alignment readingOrder="0"/>
    </xf>
    <xf borderId="52" fillId="0" fontId="21" numFmtId="0" xfId="0" applyAlignment="1" applyBorder="1" applyFont="1">
      <alignment shrinkToFit="0" wrapText="0"/>
    </xf>
    <xf borderId="50" fillId="0" fontId="19" numFmtId="0" xfId="0" applyAlignment="1" applyBorder="1" applyFont="1">
      <alignment horizontal="center" readingOrder="0" shrinkToFit="0" wrapText="0"/>
    </xf>
    <xf borderId="11" fillId="0" fontId="15" numFmtId="0" xfId="0" applyAlignment="1" applyBorder="1" applyFont="1">
      <alignment vertical="bottom"/>
    </xf>
    <xf borderId="48" fillId="0" fontId="19" numFmtId="0" xfId="0" applyAlignment="1" applyBorder="1" applyFont="1">
      <alignment shrinkToFit="0" wrapText="0"/>
    </xf>
    <xf borderId="15" fillId="0" fontId="19" numFmtId="0" xfId="0" applyAlignment="1" applyBorder="1" applyFont="1">
      <alignment horizontal="center" readingOrder="0" shrinkToFit="0" wrapText="0"/>
    </xf>
    <xf borderId="15" fillId="0" fontId="19" numFmtId="0" xfId="0" applyAlignment="1" applyBorder="1" applyFont="1">
      <alignment readingOrder="0" shrinkToFit="0" wrapText="0"/>
    </xf>
    <xf borderId="25" fillId="0" fontId="21" numFmtId="0" xfId="0" applyAlignment="1" applyBorder="1" applyFont="1">
      <alignment shrinkToFit="0" wrapText="0"/>
    </xf>
    <xf borderId="56" fillId="0" fontId="18" numFmtId="49" xfId="0" applyAlignment="1" applyBorder="1" applyFont="1" applyNumberFormat="1">
      <alignment horizontal="center" shrinkToFit="0" wrapText="0"/>
    </xf>
    <xf borderId="29" fillId="0" fontId="19" numFmtId="0" xfId="0" applyAlignment="1" applyBorder="1" applyFont="1">
      <alignment shrinkToFit="0" wrapText="0"/>
    </xf>
    <xf borderId="27" fillId="0" fontId="19" numFmtId="0" xfId="0" applyAlignment="1" applyBorder="1" applyFont="1">
      <alignment shrinkToFit="0" wrapText="0"/>
    </xf>
    <xf borderId="15" fillId="0" fontId="21" numFmtId="0" xfId="0" applyAlignment="1" applyBorder="1" applyFont="1">
      <alignment shrinkToFit="0" wrapText="0"/>
    </xf>
    <xf borderId="15" fillId="0" fontId="19" numFmtId="0" xfId="0" applyAlignment="1" applyBorder="1" applyFont="1">
      <alignment shrinkToFit="0" wrapText="0"/>
    </xf>
    <xf borderId="15" fillId="0" fontId="21" numFmtId="0" xfId="0" applyAlignment="1" applyBorder="1" applyFont="1">
      <alignment readingOrder="0" shrinkToFit="0" wrapText="0"/>
    </xf>
    <xf borderId="11" fillId="0" fontId="19" numFmtId="0" xfId="0" applyAlignment="1" applyBorder="1" applyFont="1">
      <alignment horizontal="center" readingOrder="0" shrinkToFit="0" wrapText="0"/>
    </xf>
    <xf borderId="15" fillId="0" fontId="21" numFmtId="0" xfId="0" applyAlignment="1" applyBorder="1" applyFont="1">
      <alignment shrinkToFit="0" wrapText="1"/>
    </xf>
    <xf borderId="24" fillId="0" fontId="21" numFmtId="0" xfId="0" applyAlignment="1" applyBorder="1" applyFont="1">
      <alignment readingOrder="0" shrinkToFit="0" wrapText="0"/>
    </xf>
    <xf borderId="50" fillId="0" fontId="19" numFmtId="0" xfId="0" applyAlignment="1" applyBorder="1" applyFont="1">
      <alignment readingOrder="0" shrinkToFit="0" wrapText="0"/>
    </xf>
    <xf borderId="9" fillId="5" fontId="18" numFmtId="0" xfId="0" applyAlignment="1" applyBorder="1" applyFont="1">
      <alignment horizontal="center" readingOrder="0" shrinkToFit="0" vertical="center" wrapText="0"/>
    </xf>
    <xf borderId="48" fillId="0" fontId="21" numFmtId="0" xfId="0" applyAlignment="1" applyBorder="1" applyFont="1">
      <alignment readingOrder="0" shrinkToFit="0" wrapText="0"/>
    </xf>
    <xf borderId="24" fillId="0" fontId="21" numFmtId="0" xfId="0" applyAlignment="1" applyBorder="1" applyFont="1">
      <alignment shrinkToFit="0" wrapText="0"/>
    </xf>
    <xf borderId="25" fillId="0" fontId="21" numFmtId="0" xfId="0" applyAlignment="1" applyBorder="1" applyFont="1">
      <alignment readingOrder="0" shrinkToFit="0" wrapText="0"/>
    </xf>
    <xf borderId="64" fillId="5" fontId="18" numFmtId="0" xfId="0" applyAlignment="1" applyBorder="1" applyFont="1">
      <alignment horizontal="center" shrinkToFit="0" wrapText="0"/>
    </xf>
    <xf borderId="65" fillId="0" fontId="2" numFmtId="0" xfId="0" applyBorder="1" applyFont="1"/>
    <xf borderId="66" fillId="0" fontId="2" numFmtId="0" xfId="0" applyBorder="1" applyFont="1"/>
    <xf borderId="32" fillId="5" fontId="34" numFmtId="0" xfId="0" applyAlignment="1" applyBorder="1" applyFont="1">
      <alignment horizontal="center" readingOrder="0" shrinkToFit="0" wrapText="0"/>
    </xf>
    <xf borderId="14" fillId="0" fontId="21" numFmtId="0" xfId="0" applyAlignment="1" applyBorder="1" applyFont="1">
      <alignment shrinkToFit="0" wrapText="1"/>
    </xf>
    <xf borderId="67" fillId="0" fontId="19" numFmtId="0" xfId="0" applyAlignment="1" applyBorder="1" applyFont="1">
      <alignment readingOrder="0" shrinkToFit="0" vertical="bottom" wrapText="1"/>
    </xf>
    <xf borderId="67" fillId="0" fontId="21" numFmtId="0" xfId="0" applyAlignment="1" applyBorder="1" applyFont="1">
      <alignment readingOrder="0" shrinkToFit="0" vertical="bottom" wrapText="1"/>
    </xf>
    <xf borderId="68" fillId="0" fontId="21" numFmtId="0" xfId="0" applyAlignment="1" applyBorder="1" applyFont="1">
      <alignment readingOrder="0" shrinkToFit="0" vertical="bottom" wrapText="1"/>
    </xf>
    <xf borderId="9" fillId="5" fontId="34" numFmtId="0" xfId="0" applyAlignment="1" applyBorder="1" applyFont="1">
      <alignment horizontal="center" readingOrder="0" shrinkToFit="0" wrapText="0"/>
    </xf>
    <xf borderId="15" fillId="0" fontId="21" numFmtId="0" xfId="0" applyAlignment="1" applyBorder="1" applyFont="1">
      <alignment readingOrder="0" shrinkToFit="0" wrapText="1"/>
    </xf>
    <xf borderId="48" fillId="0" fontId="2" numFmtId="0" xfId="0" applyBorder="1" applyFont="1"/>
    <xf borderId="69" fillId="0" fontId="2" numFmtId="0" xfId="0" applyBorder="1" applyFont="1"/>
    <xf borderId="49" fillId="0" fontId="18" numFmtId="49" xfId="0" applyAlignment="1" applyBorder="1" applyFont="1" applyNumberFormat="1">
      <alignment horizontal="center" shrinkToFit="0" wrapText="0"/>
    </xf>
    <xf borderId="61" fillId="0" fontId="19" numFmtId="0" xfId="0" applyAlignment="1" applyBorder="1" applyFont="1">
      <alignment shrinkToFit="0" wrapText="0"/>
    </xf>
    <xf borderId="46" fillId="0" fontId="19" numFmtId="0" xfId="0" applyAlignment="1" applyBorder="1" applyFont="1">
      <alignment shrinkToFit="0" wrapText="0"/>
    </xf>
    <xf borderId="42" fillId="0" fontId="35" numFmtId="0" xfId="0" applyAlignment="1" applyBorder="1" applyFont="1">
      <alignment horizontal="right" readingOrder="0" shrinkToFit="0" wrapText="0"/>
    </xf>
    <xf borderId="45" fillId="0" fontId="19" numFmtId="0" xfId="0" applyAlignment="1" applyBorder="1" applyFont="1">
      <alignment shrinkToFit="0" wrapText="0"/>
    </xf>
    <xf borderId="62" fillId="0" fontId="19" numFmtId="0" xfId="0" applyAlignment="1" applyBorder="1" applyFont="1">
      <alignment shrinkToFit="0" wrapText="0"/>
    </xf>
    <xf borderId="37" fillId="0" fontId="19" numFmtId="0" xfId="0" applyAlignment="1" applyBorder="1" applyFont="1">
      <alignment horizontal="center" shrinkToFit="0" wrapText="0"/>
    </xf>
    <xf borderId="35" fillId="0" fontId="19" numFmtId="0" xfId="0" applyAlignment="1" applyBorder="1" applyFont="1">
      <alignment horizontal="center" shrinkToFit="0" wrapText="0"/>
    </xf>
    <xf borderId="34" fillId="0" fontId="19" numFmtId="0" xfId="0" applyAlignment="1" applyBorder="1" applyFont="1">
      <alignment horizontal="center" shrinkToFit="0" wrapText="0"/>
    </xf>
    <xf borderId="70" fillId="0" fontId="19" numFmtId="0" xfId="0" applyAlignment="1" applyBorder="1" applyFont="1">
      <alignment horizontal="center" shrinkToFit="0" wrapText="0"/>
    </xf>
    <xf borderId="4" fillId="0" fontId="18" numFmtId="49" xfId="0" applyAlignment="1" applyBorder="1" applyFont="1" applyNumberFormat="1">
      <alignment horizontal="center" shrinkToFit="0" wrapText="0"/>
    </xf>
    <xf borderId="9" fillId="0" fontId="36" numFmtId="0" xfId="0" applyAlignment="1" applyBorder="1" applyFont="1">
      <alignment horizontal="left" readingOrder="0" shrinkToFit="0" wrapText="0"/>
    </xf>
    <xf borderId="48" fillId="0" fontId="21" numFmtId="0" xfId="0" applyAlignment="1" applyBorder="1" applyFont="1">
      <alignment shrinkToFit="0" wrapText="0"/>
    </xf>
    <xf borderId="69" fillId="0" fontId="21" numFmtId="0" xfId="0" applyAlignment="1" applyBorder="1" applyFont="1">
      <alignment shrinkToFit="0" wrapText="0"/>
    </xf>
    <xf borderId="23" fillId="5" fontId="34" numFmtId="0" xfId="0" applyAlignment="1" applyBorder="1" applyFont="1">
      <alignment horizontal="center" readingOrder="0" shrinkToFit="0" wrapText="0"/>
    </xf>
    <xf borderId="32" fillId="0" fontId="18" numFmtId="49" xfId="0" applyAlignment="1" applyBorder="1" applyFont="1" applyNumberFormat="1">
      <alignment horizontal="center" shrinkToFit="0" wrapText="0"/>
    </xf>
    <xf borderId="14" fillId="0" fontId="21" numFmtId="0" xfId="0" applyAlignment="1" applyBorder="1" applyFont="1">
      <alignment readingOrder="0" shrinkToFit="0" wrapText="0"/>
    </xf>
    <xf borderId="15" fillId="0" fontId="36" numFmtId="0" xfId="0" applyAlignment="1" applyBorder="1" applyFont="1">
      <alignment horizontal="left" readingOrder="0" shrinkToFit="0" wrapText="0"/>
    </xf>
    <xf borderId="12" fillId="0" fontId="21" numFmtId="0" xfId="0" applyAlignment="1" applyBorder="1" applyFont="1">
      <alignment horizontal="right" readingOrder="0" shrinkToFit="0" wrapText="0"/>
    </xf>
    <xf borderId="12" fillId="0" fontId="36" numFmtId="0" xfId="0" applyAlignment="1" applyBorder="1" applyFont="1">
      <alignment horizontal="left" readingOrder="0" shrinkToFit="0" wrapText="0"/>
    </xf>
    <xf borderId="10" fillId="5" fontId="34" numFmtId="0" xfId="0" applyAlignment="1" applyBorder="1" applyFont="1">
      <alignment horizontal="center" readingOrder="0" shrinkToFit="0" wrapText="0"/>
    </xf>
    <xf borderId="15" fillId="4" fontId="21" numFmtId="0" xfId="0" applyAlignment="1" applyBorder="1" applyFont="1">
      <alignment horizontal="left" shrinkToFit="0" wrapText="0"/>
    </xf>
    <xf borderId="15" fillId="0" fontId="21" numFmtId="0" xfId="0" applyAlignment="1" applyBorder="1" applyFont="1">
      <alignment readingOrder="0" vertical="bottom"/>
    </xf>
    <xf borderId="50" fillId="0" fontId="21" numFmtId="0" xfId="0" applyAlignment="1" applyBorder="1" applyFont="1">
      <alignment shrinkToFit="0" wrapText="0"/>
    </xf>
    <xf borderId="10" fillId="5" fontId="34" numFmtId="0" xfId="0" applyAlignment="1" applyBorder="1" applyFont="1">
      <alignment horizontal="center" shrinkToFit="0" wrapText="0"/>
    </xf>
    <xf borderId="32" fillId="5" fontId="18" numFmtId="49" xfId="0" applyAlignment="1" applyBorder="1" applyFont="1" applyNumberFormat="1">
      <alignment horizontal="center" shrinkToFit="0" wrapText="0"/>
    </xf>
    <xf borderId="12" fillId="5" fontId="34" numFmtId="0" xfId="0" applyAlignment="1" applyBorder="1" applyFont="1">
      <alignment horizontal="center" readingOrder="0"/>
    </xf>
    <xf borderId="0" fillId="5" fontId="2" numFmtId="0" xfId="0" applyFont="1"/>
    <xf borderId="23" fillId="5" fontId="34" numFmtId="0" xfId="0" applyAlignment="1" applyBorder="1" applyFont="1">
      <alignment horizontal="center" readingOrder="0"/>
    </xf>
    <xf borderId="32" fillId="5" fontId="34" numFmtId="0" xfId="0" applyAlignment="1" applyBorder="1" applyFont="1">
      <alignment horizontal="center" readingOrder="0"/>
    </xf>
    <xf borderId="16" fillId="0" fontId="19" numFmtId="0" xfId="0" applyAlignment="1" applyBorder="1" applyFont="1">
      <alignment readingOrder="0" shrinkToFit="0" vertical="bottom" wrapText="1"/>
    </xf>
    <xf borderId="12" fillId="0" fontId="19" numFmtId="0" xfId="0" applyAlignment="1" applyBorder="1" applyFont="1">
      <alignment horizontal="right" readingOrder="0" shrinkToFit="0" wrapText="0"/>
    </xf>
    <xf borderId="50" fillId="0" fontId="21" numFmtId="0" xfId="0" applyAlignment="1" applyBorder="1" applyFont="1">
      <alignment readingOrder="0" shrinkToFit="0" wrapText="0"/>
    </xf>
    <xf borderId="15" fillId="0" fontId="19" numFmtId="0" xfId="0" applyAlignment="1" applyBorder="1" applyFont="1">
      <alignment shrinkToFit="0" wrapText="0"/>
    </xf>
    <xf borderId="11" fillId="0" fontId="21" numFmtId="0" xfId="0" applyAlignment="1" applyBorder="1" applyFont="1">
      <alignment readingOrder="0" shrinkToFit="0" wrapText="0"/>
    </xf>
    <xf borderId="60" fillId="0" fontId="18" numFmtId="49" xfId="0" applyAlignment="1" applyBorder="1" applyFont="1" applyNumberFormat="1">
      <alignment horizontal="center" shrinkToFit="0" wrapText="0"/>
    </xf>
    <xf borderId="71" fillId="0" fontId="21" numFmtId="0" xfId="0" applyAlignment="1" applyBorder="1" applyFont="1">
      <alignment shrinkToFit="0" wrapText="0"/>
    </xf>
    <xf borderId="37" fillId="0" fontId="21" numFmtId="0" xfId="0" applyAlignment="1" applyBorder="1" applyFont="1">
      <alignment shrinkToFit="0" wrapText="0"/>
    </xf>
    <xf borderId="34" fillId="0" fontId="21" numFmtId="0" xfId="0" applyAlignment="1" applyBorder="1" applyFont="1">
      <alignment shrinkToFit="0" wrapText="0"/>
    </xf>
    <xf borderId="38" fillId="0" fontId="21" numFmtId="0" xfId="0" applyAlignment="1" applyBorder="1" applyFont="1">
      <alignment shrinkToFit="0" wrapText="0"/>
    </xf>
    <xf borderId="70" fillId="0" fontId="21" numFmtId="0" xfId="0" applyAlignment="1" applyBorder="1" applyFont="1">
      <alignment shrinkToFit="0" wrapText="0"/>
    </xf>
    <xf borderId="48" fillId="0" fontId="21" numFmtId="0" xfId="0" applyAlignment="1" applyBorder="1" applyFont="1">
      <alignment readingOrder="0" shrinkToFit="0" wrapText="1"/>
    </xf>
    <xf borderId="11" fillId="0" fontId="19" numFmtId="0" xfId="0" applyAlignment="1" applyBorder="1" applyFont="1">
      <alignment readingOrder="0" shrinkToFit="0" wrapText="0"/>
    </xf>
    <xf borderId="10" fillId="0" fontId="21" numFmtId="0" xfId="0" applyAlignment="1" applyBorder="1" applyFont="1">
      <alignment horizontal="center" readingOrder="0" shrinkToFit="0" wrapText="0"/>
    </xf>
    <xf borderId="12" fillId="0" fontId="19" numFmtId="0" xfId="0" applyAlignment="1" applyBorder="1" applyFont="1">
      <alignment readingOrder="0" shrinkToFit="0" wrapText="0"/>
    </xf>
    <xf borderId="10" fillId="0" fontId="21" numFmtId="0" xfId="0" applyAlignment="1" applyBorder="1" applyFont="1">
      <alignment horizontal="center" readingOrder="0" vertical="bottom"/>
    </xf>
    <xf borderId="50" fillId="0" fontId="36" numFmtId="0" xfId="0" applyAlignment="1" applyBorder="1" applyFont="1">
      <alignment horizontal="left" readingOrder="0" shrinkToFit="0" wrapText="0"/>
    </xf>
    <xf borderId="10" fillId="0" fontId="19" numFmtId="0" xfId="0" applyAlignment="1" applyBorder="1" applyFont="1">
      <alignment horizontal="left" readingOrder="0" shrinkToFit="0" wrapText="0"/>
    </xf>
    <xf borderId="14" fillId="0" fontId="19" numFmtId="0" xfId="0" applyAlignment="1" applyBorder="1" applyFont="1">
      <alignment readingOrder="0" shrinkToFit="0" wrapText="0"/>
    </xf>
    <xf borderId="15" fillId="0" fontId="15" numFmtId="0" xfId="0" applyAlignment="1" applyBorder="1" applyFont="1">
      <alignment vertical="bottom"/>
    </xf>
    <xf borderId="12" fillId="0" fontId="19" numFmtId="0" xfId="0" applyAlignment="1" applyBorder="1" applyFont="1">
      <alignment horizontal="left" readingOrder="0" shrinkToFit="0" wrapText="0"/>
    </xf>
    <xf borderId="15" fillId="0" fontId="19" numFmtId="0" xfId="0" applyAlignment="1" applyBorder="1" applyFont="1">
      <alignment horizontal="left" readingOrder="0" shrinkToFit="0" wrapText="0"/>
    </xf>
    <xf borderId="69" fillId="0" fontId="21" numFmtId="0" xfId="0" applyAlignment="1" applyBorder="1" applyFont="1">
      <alignment readingOrder="0" shrinkToFit="0" wrapText="0"/>
    </xf>
    <xf borderId="13" fillId="0" fontId="21" numFmtId="0" xfId="0" applyAlignment="1" applyBorder="1" applyFont="1">
      <alignment readingOrder="0" shrinkToFit="0" wrapText="0"/>
    </xf>
    <xf borderId="37" fillId="0" fontId="21" numFmtId="0" xfId="0" applyAlignment="1" applyBorder="1" applyFont="1">
      <alignment readingOrder="0" shrinkToFit="0" wrapText="0"/>
    </xf>
    <xf borderId="9" fillId="5" fontId="18" numFmtId="0" xfId="0" applyAlignment="1" applyBorder="1" applyFont="1">
      <alignment horizontal="center" readingOrder="0" shrinkToFit="0" wrapText="0"/>
    </xf>
    <xf borderId="11" fillId="0" fontId="21" numFmtId="0" xfId="0" applyAlignment="1" applyBorder="1" applyFont="1">
      <alignment shrinkToFit="0" wrapText="0"/>
    </xf>
    <xf borderId="12" fillId="0" fontId="21" numFmtId="0" xfId="0" applyAlignment="1" applyBorder="1" applyFont="1">
      <alignment readingOrder="0" shrinkToFit="0" wrapText="0"/>
    </xf>
    <xf borderId="10" fillId="0" fontId="21" numFmtId="0" xfId="0" applyAlignment="1" applyBorder="1" applyFont="1">
      <alignment readingOrder="0" shrinkToFit="0" wrapText="0"/>
    </xf>
    <xf borderId="64" fillId="5" fontId="34" numFmtId="0" xfId="0" applyAlignment="1" applyBorder="1" applyFont="1">
      <alignment horizontal="center" readingOrder="0" shrinkToFit="0" wrapText="0"/>
    </xf>
    <xf borderId="14" fillId="0" fontId="36" numFmtId="0" xfId="0" applyAlignment="1" applyBorder="1" applyFont="1">
      <alignment shrinkToFit="0" wrapText="0"/>
    </xf>
    <xf borderId="15" fillId="0" fontId="36" numFmtId="0" xfId="0" applyAlignment="1" applyBorder="1" applyFont="1">
      <alignment shrinkToFit="0" wrapText="0"/>
    </xf>
    <xf borderId="36" fillId="6" fontId="37" numFmtId="0" xfId="0" applyAlignment="1" applyBorder="1" applyFill="1" applyFont="1">
      <alignment horizontal="center" readingOrder="0" shrinkToFit="0" wrapText="0"/>
    </xf>
    <xf borderId="18" fillId="0" fontId="19" numFmtId="0" xfId="0" applyAlignment="1" applyBorder="1" applyFont="1">
      <alignment readingOrder="0" shrinkToFit="0" vertical="bottom" wrapText="1"/>
    </xf>
    <xf borderId="0" fillId="0" fontId="38" numFmtId="0" xfId="0" applyAlignment="1" applyFont="1">
      <alignment readingOrder="0"/>
    </xf>
    <xf borderId="11" fillId="0" fontId="13" numFmtId="0" xfId="0" applyAlignment="1" applyBorder="1" applyFont="1">
      <alignment vertical="bottom"/>
    </xf>
    <xf borderId="11" fillId="0" fontId="39" numFmtId="0" xfId="0" applyAlignment="1" applyBorder="1" applyFont="1">
      <alignment horizontal="center" readingOrder="0" shrinkToFit="0" wrapText="0"/>
    </xf>
    <xf borderId="15" fillId="0" fontId="39" numFmtId="0" xfId="0" applyAlignment="1" applyBorder="1" applyFont="1">
      <alignment horizontal="center" readingOrder="0" shrinkToFit="0" wrapText="0"/>
    </xf>
    <xf borderId="48" fillId="0" fontId="36" numFmtId="0" xfId="0" applyAlignment="1" applyBorder="1" applyFont="1">
      <alignment readingOrder="0" shrinkToFit="0" wrapText="1"/>
    </xf>
    <xf borderId="42" fillId="0" fontId="19" numFmtId="0" xfId="0" applyAlignment="1" applyBorder="1" applyFont="1">
      <alignment shrinkToFit="0" wrapText="0"/>
    </xf>
    <xf borderId="0" fillId="0" fontId="21" numFmtId="14" xfId="0" applyAlignment="1" applyFont="1" applyNumberFormat="1">
      <alignment horizontal="left" shrinkToFit="0" wrapText="0"/>
    </xf>
    <xf borderId="0" fillId="0" fontId="40" numFmtId="0" xfId="0" applyAlignment="1" applyFont="1">
      <alignment readingOrder="0" shrinkToFit="0" wrapText="0"/>
    </xf>
    <xf borderId="0" fillId="2" fontId="0" numFmtId="0" xfId="0" applyAlignment="1" applyFont="1">
      <alignment readingOrder="0" shrinkToFit="0" wrapText="0"/>
    </xf>
    <xf borderId="0" fillId="0" fontId="21" numFmtId="0" xfId="0" applyAlignment="1" applyFont="1">
      <alignment vertical="bottom"/>
    </xf>
    <xf borderId="0" fillId="0" fontId="26" numFmtId="0" xfId="0" applyAlignment="1" applyFont="1">
      <alignment readingOrder="0" shrinkToFit="0" wrapText="0"/>
    </xf>
    <xf borderId="4" fillId="0" fontId="16" numFmtId="0" xfId="0" applyAlignment="1" applyBorder="1" applyFont="1">
      <alignment horizontal="center" shrinkToFit="0" vertical="center" wrapText="0"/>
    </xf>
    <xf borderId="8" fillId="0" fontId="16" numFmtId="0" xfId="0" applyAlignment="1" applyBorder="1" applyFont="1">
      <alignment horizontal="center" readingOrder="0" shrinkToFit="0" vertical="center" wrapText="0"/>
    </xf>
    <xf borderId="54" fillId="0" fontId="37" numFmtId="49" xfId="0" applyAlignment="1" applyBorder="1" applyFont="1" applyNumberFormat="1">
      <alignment horizontal="center" shrinkToFit="0" wrapText="0"/>
    </xf>
    <xf borderId="9" fillId="5" fontId="12" numFmtId="0" xfId="0" applyAlignment="1" applyBorder="1" applyFont="1">
      <alignment horizontal="center" readingOrder="0" shrinkToFit="0" wrapText="0"/>
    </xf>
    <xf borderId="24" fillId="0" fontId="28" numFmtId="0" xfId="0" applyAlignment="1" applyBorder="1" applyFont="1">
      <alignment readingOrder="0" shrinkToFit="0" wrapText="0"/>
    </xf>
    <xf borderId="25" fillId="0" fontId="28" numFmtId="0" xfId="0" applyAlignment="1" applyBorder="1" applyFont="1">
      <alignment readingOrder="0" shrinkToFit="0" wrapText="0"/>
    </xf>
    <xf borderId="56" fillId="0" fontId="37" numFmtId="49" xfId="0" applyAlignment="1" applyBorder="1" applyFont="1" applyNumberFormat="1">
      <alignment horizontal="center" shrinkToFit="0" wrapText="0"/>
    </xf>
    <xf borderId="32" fillId="0" fontId="28" numFmtId="0" xfId="0" applyAlignment="1" applyBorder="1" applyFont="1">
      <alignment horizontal="center" readingOrder="0" shrinkToFit="0" wrapText="0"/>
    </xf>
    <xf borderId="23" fillId="5" fontId="41" numFmtId="0" xfId="0" applyAlignment="1" applyBorder="1" applyFont="1">
      <alignment horizontal="center" readingOrder="0"/>
    </xf>
    <xf borderId="72" fillId="0" fontId="37" numFmtId="49" xfId="0" applyAlignment="1" applyBorder="1" applyFont="1" applyNumberFormat="1">
      <alignment horizontal="center" shrinkToFit="0" wrapText="0"/>
    </xf>
    <xf borderId="32" fillId="0" fontId="28" numFmtId="0" xfId="0" applyAlignment="1" applyBorder="1" applyFont="1">
      <alignment readingOrder="0" shrinkToFit="0" wrapText="0"/>
    </xf>
    <xf borderId="23" fillId="0" fontId="28" numFmtId="0" xfId="0" applyAlignment="1" applyBorder="1" applyFont="1">
      <alignment horizontal="right" readingOrder="0" shrinkToFit="0" wrapText="0"/>
    </xf>
    <xf borderId="25" fillId="0" fontId="0" numFmtId="0" xfId="0" applyAlignment="1" applyBorder="1" applyFont="1">
      <alignment horizontal="center" readingOrder="0" shrinkToFit="0" wrapText="0"/>
    </xf>
    <xf borderId="14" fillId="0" fontId="13" numFmtId="0" xfId="0" applyAlignment="1" applyBorder="1" applyFont="1">
      <alignment vertical="bottom"/>
    </xf>
    <xf borderId="13" fillId="0" fontId="12" numFmtId="0" xfId="0" applyAlignment="1" applyBorder="1" applyFont="1">
      <alignment horizontal="center" shrinkToFit="0" wrapText="0"/>
    </xf>
    <xf borderId="15" fillId="0" fontId="12" numFmtId="0" xfId="0" applyAlignment="1" applyBorder="1" applyFont="1">
      <alignment horizontal="center" shrinkToFit="0" wrapText="0"/>
    </xf>
    <xf borderId="25" fillId="0" fontId="42" numFmtId="0" xfId="0" applyAlignment="1" applyBorder="1" applyFont="1">
      <alignment horizontal="center" readingOrder="0" shrinkToFit="0" wrapText="0"/>
    </xf>
    <xf borderId="49" fillId="0" fontId="37" numFmtId="49" xfId="0" applyAlignment="1" applyBorder="1" applyFont="1" applyNumberFormat="1">
      <alignment horizontal="center" shrinkToFit="0" wrapText="0"/>
    </xf>
    <xf borderId="42" fillId="0" fontId="28" numFmtId="0" xfId="0" applyAlignment="1" applyBorder="1" applyFont="1">
      <alignment shrinkToFit="0" wrapText="0"/>
    </xf>
    <xf borderId="73" fillId="0" fontId="43" numFmtId="0" xfId="0" applyAlignment="1" applyBorder="1" applyFont="1">
      <alignment shrinkToFit="0" vertical="bottom" wrapText="1"/>
    </xf>
    <xf borderId="0" fillId="0" fontId="43" numFmtId="0" xfId="0" applyAlignment="1" applyFont="1">
      <alignment shrinkToFit="0" vertical="bottom" wrapText="1"/>
    </xf>
    <xf borderId="17" fillId="0" fontId="28" numFmtId="0" xfId="0" applyAlignment="1" applyBorder="1" applyFont="1">
      <alignment readingOrder="0" shrinkToFit="0" wrapText="0"/>
    </xf>
    <xf borderId="6" fillId="0" fontId="28" numFmtId="0" xfId="0" applyAlignment="1" applyBorder="1" applyFont="1">
      <alignment readingOrder="0" shrinkToFit="0" wrapText="0"/>
    </xf>
    <xf borderId="15" fillId="0" fontId="28" numFmtId="0" xfId="0" applyAlignment="1" applyBorder="1" applyFont="1">
      <alignment readingOrder="0" shrinkToFit="0" wrapText="0"/>
    </xf>
    <xf borderId="11" fillId="0" fontId="0" numFmtId="0" xfId="0" applyAlignment="1" applyBorder="1" applyFont="1">
      <alignment readingOrder="0" shrinkToFit="0" wrapText="0"/>
    </xf>
    <xf borderId="12" fillId="0" fontId="2" numFmtId="0" xfId="0" applyBorder="1" applyFont="1"/>
    <xf borderId="29" fillId="0" fontId="43" numFmtId="0" xfId="0" applyAlignment="1" applyBorder="1" applyFont="1">
      <alignment shrinkToFit="0" vertical="bottom" wrapText="1"/>
    </xf>
    <xf borderId="27" fillId="0" fontId="43" numFmtId="0" xfId="0" applyAlignment="1" applyBorder="1" applyFont="1">
      <alignment shrinkToFit="0" vertical="bottom" wrapText="1"/>
    </xf>
    <xf borderId="50" fillId="0" fontId="0" numFmtId="0" xfId="0" applyAlignment="1" applyBorder="1" applyFont="1">
      <alignment horizontal="center" readingOrder="0" shrinkToFit="0" wrapText="0"/>
    </xf>
    <xf borderId="32" fillId="5" fontId="37" numFmtId="49" xfId="0" applyAlignment="1" applyBorder="1" applyFont="1" applyNumberFormat="1">
      <alignment horizontal="center" shrinkToFit="0" wrapText="0"/>
    </xf>
    <xf borderId="17" fillId="5" fontId="28" numFmtId="0" xfId="0" applyAlignment="1" applyBorder="1" applyFont="1">
      <alignment shrinkToFit="0" wrapText="0"/>
    </xf>
    <xf borderId="10" fillId="0" fontId="28" numFmtId="0" xfId="0" applyAlignment="1" applyBorder="1" applyFont="1">
      <alignment horizontal="center" readingOrder="0" shrinkToFit="0" wrapText="0"/>
    </xf>
    <xf borderId="10" fillId="5" fontId="29" numFmtId="0" xfId="0" applyAlignment="1" applyBorder="1" applyFont="1">
      <alignment horizontal="center" readingOrder="0" shrinkToFit="0" wrapText="0"/>
    </xf>
    <xf borderId="15" fillId="0" fontId="0" numFmtId="0" xfId="0" applyAlignment="1" applyBorder="1" applyFont="1">
      <alignment horizontal="center" readingOrder="0" shrinkToFit="0" wrapText="0"/>
    </xf>
    <xf borderId="24" fillId="0" fontId="0" numFmtId="0" xfId="0" applyAlignment="1" applyBorder="1" applyFont="1">
      <alignment horizontal="center" readingOrder="0" shrinkToFit="0" wrapText="0"/>
    </xf>
    <xf borderId="15" fillId="0" fontId="28" numFmtId="0" xfId="0" applyAlignment="1" applyBorder="1" applyFont="1">
      <alignment horizontal="center" readingOrder="0" shrinkToFit="0" wrapText="0"/>
    </xf>
    <xf borderId="32" fillId="5" fontId="12" numFmtId="0" xfId="0" applyAlignment="1" applyBorder="1" applyFont="1">
      <alignment horizontal="center" readingOrder="0" shrinkToFit="0" wrapText="0"/>
    </xf>
    <xf borderId="23" fillId="5" fontId="44" numFmtId="0" xfId="0" applyAlignment="1" applyBorder="1" applyFont="1">
      <alignment horizontal="center" readingOrder="0"/>
    </xf>
    <xf borderId="10" fillId="0" fontId="28" numFmtId="0" xfId="0" applyAlignment="1" applyBorder="1" applyFont="1">
      <alignment horizontal="left" readingOrder="0" shrinkToFit="0" wrapText="0"/>
    </xf>
    <xf borderId="25" fillId="0" fontId="0" numFmtId="0" xfId="0" applyAlignment="1" applyBorder="1" applyFont="1">
      <alignment horizontal="right" readingOrder="0" shrinkToFit="0" wrapText="0"/>
    </xf>
    <xf borderId="23" fillId="0" fontId="28" numFmtId="0" xfId="0" applyAlignment="1" applyBorder="1" applyFont="1">
      <alignment horizontal="left" readingOrder="0" shrinkToFit="0" wrapText="0"/>
    </xf>
    <xf borderId="24" fillId="0" fontId="12" numFmtId="0" xfId="0" applyAlignment="1" applyBorder="1" applyFont="1">
      <alignment horizontal="center" shrinkToFit="0" wrapText="0"/>
    </xf>
    <xf borderId="50" fillId="0" fontId="12" numFmtId="0" xfId="0" applyAlignment="1" applyBorder="1" applyFont="1">
      <alignment horizontal="center" shrinkToFit="0" wrapText="0"/>
    </xf>
    <xf borderId="28" fillId="0" fontId="28" numFmtId="0" xfId="0" applyAlignment="1" applyBorder="1" applyFont="1">
      <alignment shrinkToFit="0" wrapText="0"/>
    </xf>
    <xf borderId="51" fillId="0" fontId="28" numFmtId="0" xfId="0" applyAlignment="1" applyBorder="1" applyFont="1">
      <alignment horizontal="center" readingOrder="0" shrinkToFit="0" wrapText="0"/>
    </xf>
    <xf borderId="6" fillId="0" fontId="28" numFmtId="0" xfId="0" applyAlignment="1" applyBorder="1" applyFont="1">
      <alignment horizontal="center" readingOrder="0" shrinkToFit="0" wrapText="0"/>
    </xf>
    <xf borderId="7" fillId="0" fontId="28" numFmtId="0" xfId="0" applyAlignment="1" applyBorder="1" applyFont="1">
      <alignment horizontal="center" readingOrder="0" shrinkToFit="0" wrapText="0"/>
    </xf>
    <xf borderId="55" fillId="0" fontId="2" numFmtId="0" xfId="0" applyBorder="1" applyFont="1"/>
    <xf borderId="6" fillId="0" fontId="28" numFmtId="0" xfId="0" applyAlignment="1" applyBorder="1" applyFont="1">
      <alignment horizontal="center" shrinkToFit="0" wrapText="0"/>
    </xf>
    <xf borderId="74" fillId="0" fontId="43" numFmtId="0" xfId="0" applyAlignment="1" applyBorder="1" applyFont="1">
      <alignment shrinkToFit="0" vertical="bottom" wrapText="1"/>
    </xf>
    <xf borderId="55" fillId="0" fontId="28" numFmtId="0" xfId="0" applyAlignment="1" applyBorder="1" applyFont="1">
      <alignment horizontal="center" readingOrder="0" shrinkToFit="0" wrapText="0"/>
    </xf>
    <xf borderId="50" fillId="0" fontId="28" numFmtId="0" xfId="0" applyAlignment="1" applyBorder="1" applyFont="1">
      <alignment horizontal="center" readingOrder="0" shrinkToFit="0" wrapText="0"/>
    </xf>
    <xf borderId="11" fillId="0" fontId="13" numFmtId="0" xfId="0" applyAlignment="1" applyBorder="1" applyFont="1">
      <alignment vertical="bottom"/>
    </xf>
    <xf borderId="17" fillId="0" fontId="28" numFmtId="0" xfId="0" applyAlignment="1" applyBorder="1" applyFont="1">
      <alignment horizontal="center" shrinkToFit="0" wrapText="0"/>
    </xf>
    <xf borderId="11" fillId="0" fontId="28" numFmtId="0" xfId="0" applyAlignment="1" applyBorder="1" applyFont="1">
      <alignment horizontal="center" shrinkToFit="0" wrapText="0"/>
    </xf>
    <xf borderId="68" fillId="0" fontId="43" numFmtId="0" xfId="0" applyAlignment="1" applyBorder="1" applyFont="1">
      <alignment shrinkToFit="0" vertical="bottom" wrapText="1"/>
    </xf>
    <xf borderId="15" fillId="0" fontId="28" numFmtId="0" xfId="0" applyAlignment="1" applyBorder="1" applyFont="1">
      <alignment horizontal="center" shrinkToFit="0" wrapText="0"/>
    </xf>
    <xf borderId="11" fillId="0" fontId="28" numFmtId="0" xfId="0" applyAlignment="1" applyBorder="1" applyFont="1">
      <alignment horizontal="center" readingOrder="0" shrinkToFit="0" wrapText="0"/>
    </xf>
    <xf borderId="60" fillId="6" fontId="45" numFmtId="0" xfId="0" applyAlignment="1" applyBorder="1" applyFont="1">
      <alignment horizontal="center" readingOrder="0"/>
    </xf>
    <xf borderId="0" fillId="0" fontId="46" numFmtId="0" xfId="0" applyAlignment="1" applyFont="1">
      <alignment readingOrder="0"/>
    </xf>
    <xf borderId="9" fillId="0" fontId="12" numFmtId="0" xfId="0" applyAlignment="1" applyBorder="1" applyFont="1">
      <alignment horizontal="center" shrinkToFit="0" wrapText="0"/>
    </xf>
    <xf borderId="13" fillId="0" fontId="28" numFmtId="0" xfId="0" applyAlignment="1" applyBorder="1" applyFont="1">
      <alignment shrinkToFit="0" wrapText="0"/>
    </xf>
    <xf borderId="32" fillId="0" fontId="37" numFmtId="49" xfId="0" applyAlignment="1" applyBorder="1" applyFont="1" applyNumberFormat="1">
      <alignment horizontal="center" shrinkToFit="0" wrapText="0"/>
    </xf>
    <xf borderId="5" fillId="0" fontId="16" numFmtId="0" xfId="0" applyAlignment="1" applyBorder="1" applyFont="1">
      <alignment horizontal="center" shrinkToFit="0" wrapText="0"/>
    </xf>
    <xf borderId="7" fillId="0" fontId="16" numFmtId="0" xfId="0" applyAlignment="1" applyBorder="1" applyFont="1">
      <alignment horizontal="center" readingOrder="0" shrinkToFit="0" wrapText="0"/>
    </xf>
    <xf borderId="71" fillId="0" fontId="16" numFmtId="0" xfId="0" applyAlignment="1" applyBorder="1" applyFont="1">
      <alignment horizontal="center" shrinkToFit="0" wrapText="0"/>
    </xf>
    <xf borderId="37" fillId="0" fontId="16" numFmtId="0" xfId="0" applyAlignment="1" applyBorder="1" applyFont="1">
      <alignment horizontal="center" shrinkToFit="0" wrapText="0"/>
    </xf>
    <xf borderId="0" fillId="0" fontId="16" numFmtId="0" xfId="0" applyAlignment="1" applyFont="1">
      <alignment horizontal="center" shrinkToFit="0" wrapText="0"/>
    </xf>
    <xf borderId="67" fillId="0" fontId="16" numFmtId="0" xfId="0" applyAlignment="1" applyBorder="1" applyFont="1">
      <alignment horizontal="center" shrinkToFit="0" wrapText="0"/>
    </xf>
    <xf borderId="68" fillId="0" fontId="16" numFmtId="0" xfId="0" applyAlignment="1" applyBorder="1" applyFont="1">
      <alignment horizontal="center" shrinkToFit="0" wrapText="0"/>
    </xf>
    <xf borderId="9" fillId="0" fontId="19" numFmtId="0" xfId="0" applyAlignment="1" applyBorder="1" applyFont="1">
      <alignment readingOrder="0" shrinkToFit="0" wrapText="0"/>
    </xf>
    <xf borderId="6" fillId="0" fontId="47" numFmtId="0" xfId="0" applyAlignment="1" applyBorder="1" applyFont="1">
      <alignment readingOrder="0"/>
    </xf>
    <xf borderId="6" fillId="0" fontId="43" numFmtId="0" xfId="0" applyAlignment="1" applyBorder="1" applyFont="1">
      <alignment readingOrder="0" vertical="bottom"/>
    </xf>
    <xf borderId="52" fillId="0" fontId="43" numFmtId="0" xfId="0" applyAlignment="1" applyBorder="1" applyFont="1">
      <alignment readingOrder="0" vertical="bottom"/>
    </xf>
    <xf borderId="52" fillId="0" fontId="43" numFmtId="0" xfId="0" applyAlignment="1" applyBorder="1" applyFont="1">
      <alignment vertical="bottom"/>
    </xf>
    <xf borderId="55" fillId="0" fontId="43" numFmtId="0" xfId="0" applyAlignment="1" applyBorder="1" applyFont="1">
      <alignment vertical="bottom"/>
    </xf>
    <xf borderId="22" fillId="4" fontId="19" numFmtId="0" xfId="0" applyAlignment="1" applyBorder="1" applyFont="1">
      <alignment readingOrder="0" vertical="bottom"/>
    </xf>
    <xf borderId="50" fillId="0" fontId="47" numFmtId="0" xfId="0" applyAlignment="1" applyBorder="1" applyFont="1">
      <alignment readingOrder="0"/>
    </xf>
    <xf borderId="11" fillId="0" fontId="43" numFmtId="0" xfId="0" applyAlignment="1" applyBorder="1" applyFont="1">
      <alignment readingOrder="0" vertical="bottom"/>
    </xf>
    <xf borderId="15" fillId="0" fontId="43" numFmtId="0" xfId="0" applyAlignment="1" applyBorder="1" applyFont="1">
      <alignment readingOrder="0" vertical="bottom"/>
    </xf>
    <xf borderId="15" fillId="0" fontId="47" numFmtId="0" xfId="0" applyAlignment="1" applyBorder="1" applyFont="1">
      <alignment readingOrder="0"/>
    </xf>
    <xf borderId="50" fillId="0" fontId="43" numFmtId="0" xfId="0" applyAlignment="1" applyBorder="1" applyFont="1">
      <alignment vertical="bottom"/>
    </xf>
    <xf borderId="12" fillId="4" fontId="19" numFmtId="0" xfId="0" applyAlignment="1" applyBorder="1" applyFont="1">
      <alignment readingOrder="0" vertical="bottom"/>
    </xf>
    <xf borderId="15" fillId="4" fontId="48" numFmtId="0" xfId="0" applyAlignment="1" applyBorder="1" applyFont="1">
      <alignment readingOrder="0" vertical="bottom"/>
    </xf>
    <xf borderId="69" fillId="0" fontId="48" numFmtId="0" xfId="0" applyAlignment="1" applyBorder="1" applyFont="1">
      <alignment horizontal="left" readingOrder="0"/>
    </xf>
    <xf borderId="9" fillId="5" fontId="37" numFmtId="0" xfId="0" applyAlignment="1" applyBorder="1" applyFont="1">
      <alignment horizontal="center" readingOrder="0" shrinkToFit="0" wrapText="0"/>
    </xf>
    <xf borderId="11" fillId="0" fontId="47" numFmtId="0" xfId="0" applyAlignment="1" applyBorder="1" applyFont="1">
      <alignment readingOrder="0"/>
    </xf>
    <xf borderId="15" fillId="0" fontId="47" numFmtId="0" xfId="0" applyBorder="1" applyFont="1"/>
    <xf borderId="68" fillId="0" fontId="48" numFmtId="0" xfId="0" applyAlignment="1" applyBorder="1" applyFont="1">
      <alignment horizontal="left" readingOrder="0"/>
    </xf>
    <xf borderId="50" fillId="0" fontId="43" numFmtId="0" xfId="0" applyAlignment="1" applyBorder="1" applyFont="1">
      <alignment readingOrder="0" vertical="bottom"/>
    </xf>
    <xf borderId="71" fillId="0" fontId="43" numFmtId="0" xfId="0" applyAlignment="1" applyBorder="1" applyFont="1">
      <alignment horizontal="left" shrinkToFit="0" wrapText="0"/>
    </xf>
    <xf borderId="37" fillId="0" fontId="43" numFmtId="0" xfId="0" applyAlignment="1" applyBorder="1" applyFont="1">
      <alignment horizontal="left" shrinkToFit="0" wrapText="0"/>
    </xf>
    <xf borderId="70" fillId="0" fontId="43" numFmtId="0" xfId="0" applyAlignment="1" applyBorder="1" applyFont="1">
      <alignment horizontal="left" shrinkToFit="0" wrapText="0"/>
    </xf>
    <xf borderId="34" fillId="0" fontId="43" numFmtId="0" xfId="0" applyAlignment="1" applyBorder="1" applyFont="1">
      <alignment vertical="bottom"/>
    </xf>
    <xf borderId="37" fillId="0" fontId="43" numFmtId="0" xfId="0" applyAlignment="1" applyBorder="1" applyFont="1">
      <alignment vertical="bottom"/>
    </xf>
    <xf borderId="70" fillId="0" fontId="43" numFmtId="0" xfId="0" applyAlignment="1" applyBorder="1" applyFont="1">
      <alignment vertical="bottom"/>
    </xf>
    <xf borderId="4" fillId="0" fontId="37" numFmtId="49" xfId="0" applyAlignment="1" applyBorder="1" applyFont="1" applyNumberFormat="1">
      <alignment horizontal="center" shrinkToFit="0" wrapText="0"/>
    </xf>
    <xf borderId="17" fillId="0" fontId="47" numFmtId="0" xfId="0" applyAlignment="1" applyBorder="1" applyFont="1">
      <alignment readingOrder="0"/>
    </xf>
    <xf borderId="48" fillId="0" fontId="47" numFmtId="0" xfId="0" applyAlignment="1" applyBorder="1" applyFont="1">
      <alignment readingOrder="0"/>
    </xf>
    <xf borderId="48" fillId="0" fontId="43" numFmtId="0" xfId="0" applyAlignment="1" applyBorder="1" applyFont="1">
      <alignment vertical="bottom"/>
    </xf>
    <xf borderId="48" fillId="0" fontId="43" numFmtId="0" xfId="0" applyAlignment="1" applyBorder="1" applyFont="1">
      <alignment readingOrder="0" shrinkToFit="0" wrapText="0"/>
    </xf>
    <xf borderId="48" fillId="0" fontId="43" numFmtId="0" xfId="0" applyAlignment="1" applyBorder="1" applyFont="1">
      <alignment shrinkToFit="0" wrapText="0"/>
    </xf>
    <xf borderId="48" fillId="0" fontId="43" numFmtId="0" xfId="0" applyAlignment="1" applyBorder="1" applyFont="1">
      <alignment readingOrder="0" vertical="bottom"/>
    </xf>
    <xf borderId="48" fillId="0" fontId="43" numFmtId="0" xfId="0" applyAlignment="1" applyBorder="1" applyFont="1">
      <alignment vertical="bottom"/>
    </xf>
    <xf borderId="32" fillId="5" fontId="37" numFmtId="0" xfId="0" applyAlignment="1" applyBorder="1" applyFont="1">
      <alignment horizontal="center" readingOrder="0" shrinkToFit="0" wrapText="0"/>
    </xf>
    <xf borderId="14" fillId="0" fontId="47" numFmtId="0" xfId="0" applyAlignment="1" applyBorder="1" applyFont="1">
      <alignment readingOrder="0"/>
    </xf>
    <xf borderId="15" fillId="0" fontId="43" numFmtId="0" xfId="0" applyAlignment="1" applyBorder="1" applyFont="1">
      <alignment vertical="bottom"/>
    </xf>
    <xf borderId="15" fillId="0" fontId="43" numFmtId="0" xfId="0" applyAlignment="1" applyBorder="1" applyFont="1">
      <alignment readingOrder="0" shrinkToFit="0" wrapText="0"/>
    </xf>
    <xf borderId="15" fillId="0" fontId="43" numFmtId="0" xfId="0" applyAlignment="1" applyBorder="1" applyFont="1">
      <alignment horizontal="left" shrinkToFit="0" wrapText="0"/>
    </xf>
    <xf borderId="15" fillId="0" fontId="43" numFmtId="0" xfId="0" applyAlignment="1" applyBorder="1" applyFont="1">
      <alignment vertical="bottom"/>
    </xf>
    <xf borderId="14" fillId="0" fontId="43" numFmtId="0" xfId="0" applyAlignment="1" applyBorder="1" applyFont="1">
      <alignment readingOrder="0" vertical="bottom"/>
    </xf>
    <xf borderId="14" fillId="0" fontId="43" numFmtId="0" xfId="0" applyAlignment="1" applyBorder="1" applyFont="1">
      <alignment vertical="bottom"/>
    </xf>
    <xf borderId="15" fillId="0" fontId="43" numFmtId="0" xfId="0" applyAlignment="1" applyBorder="1" applyFont="1">
      <alignment horizontal="center" readingOrder="0" vertical="bottom"/>
    </xf>
    <xf borderId="9" fillId="5" fontId="37" numFmtId="0" xfId="0" applyAlignment="1" applyBorder="1" applyFont="1">
      <alignment horizontal="center" readingOrder="0" shrinkToFit="0" vertical="center" wrapText="0"/>
    </xf>
    <xf borderId="15" fillId="0" fontId="43" numFmtId="0" xfId="0" applyAlignment="1" applyBorder="1" applyFont="1">
      <alignment horizontal="left" readingOrder="0" vertical="bottom"/>
    </xf>
    <xf borderId="14" fillId="0" fontId="37" numFmtId="0" xfId="0" applyAlignment="1" applyBorder="1" applyFont="1">
      <alignment horizontal="center" shrinkToFit="0" vertical="center" wrapText="0"/>
    </xf>
    <xf borderId="15" fillId="0" fontId="37" numFmtId="0" xfId="0" applyAlignment="1" applyBorder="1" applyFont="1">
      <alignment horizontal="center" shrinkToFit="0" vertical="center" wrapText="0"/>
    </xf>
    <xf borderId="50" fillId="0" fontId="47" numFmtId="0" xfId="0" applyBorder="1" applyFont="1"/>
    <xf borderId="16" fillId="0" fontId="2" numFmtId="0" xfId="0" applyBorder="1" applyFont="1"/>
    <xf borderId="18" fillId="0" fontId="2" numFmtId="0" xfId="0" applyBorder="1" applyFont="1"/>
    <xf borderId="24" fillId="0" fontId="43" numFmtId="0" xfId="0" applyAlignment="1" applyBorder="1" applyFont="1">
      <alignment readingOrder="0" shrinkToFit="0" wrapText="0"/>
    </xf>
    <xf borderId="15" fillId="4" fontId="48" numFmtId="0" xfId="0" applyAlignment="1" applyBorder="1" applyFont="1">
      <alignment horizontal="left" readingOrder="0"/>
    </xf>
    <xf borderId="60" fillId="0" fontId="37" numFmtId="49" xfId="0" applyAlignment="1" applyBorder="1" applyFont="1" applyNumberFormat="1">
      <alignment horizontal="center" shrinkToFit="0" wrapText="0"/>
    </xf>
    <xf borderId="33" fillId="7" fontId="37" numFmtId="0" xfId="0" applyAlignment="1" applyBorder="1" applyFill="1" applyFont="1">
      <alignment horizontal="center" readingOrder="0" shrinkToFit="0" vertical="bottom" wrapText="1"/>
    </xf>
    <xf borderId="4" fillId="5" fontId="37" numFmtId="0" xfId="0" applyAlignment="1" applyBorder="1" applyFont="1">
      <alignment horizontal="center" readingOrder="0" shrinkToFit="0" wrapText="0"/>
    </xf>
    <xf borderId="51" fillId="0" fontId="19" numFmtId="0" xfId="0" applyAlignment="1" applyBorder="1" applyFont="1">
      <alignment readingOrder="0" shrinkToFit="0" wrapText="0"/>
    </xf>
    <xf borderId="52" fillId="0" fontId="19" numFmtId="0" xfId="0" applyAlignment="1" applyBorder="1" applyFont="1">
      <alignment readingOrder="0" shrinkToFit="0" wrapText="0"/>
    </xf>
    <xf borderId="52" fillId="0" fontId="43" numFmtId="0" xfId="0" applyAlignment="1" applyBorder="1" applyFont="1">
      <alignment shrinkToFit="0" wrapText="0"/>
    </xf>
    <xf borderId="55" fillId="0" fontId="43" numFmtId="0" xfId="0" applyAlignment="1" applyBorder="1" applyFont="1">
      <alignment readingOrder="0" shrinkToFit="0" wrapText="0"/>
    </xf>
    <xf borderId="10" fillId="0" fontId="47" numFmtId="0" xfId="0" applyAlignment="1" applyBorder="1" applyFont="1">
      <alignment readingOrder="0"/>
    </xf>
    <xf borderId="15" fillId="0" fontId="43" numFmtId="0" xfId="0" applyAlignment="1" applyBorder="1" applyFont="1">
      <alignment shrinkToFit="0" wrapText="0"/>
    </xf>
    <xf borderId="50" fillId="0" fontId="43" numFmtId="0" xfId="0" applyAlignment="1" applyBorder="1" applyFont="1">
      <alignment shrinkToFit="0" wrapText="0"/>
    </xf>
    <xf borderId="14" fillId="0" fontId="43" numFmtId="0" xfId="0" applyAlignment="1" applyBorder="1" applyFont="1">
      <alignment shrinkToFit="0" wrapText="0"/>
    </xf>
    <xf borderId="12" fillId="0" fontId="43" numFmtId="0" xfId="0" applyAlignment="1" applyBorder="1" applyFont="1">
      <alignment readingOrder="0" shrinkToFit="0" wrapText="0"/>
    </xf>
    <xf borderId="50" fillId="0" fontId="43" numFmtId="0" xfId="0" applyAlignment="1" applyBorder="1" applyFont="1">
      <alignment readingOrder="0" shrinkToFit="0" wrapText="0"/>
    </xf>
    <xf borderId="12" fillId="0" fontId="19" numFmtId="0" xfId="0" applyAlignment="1" applyBorder="1" applyFont="1">
      <alignment readingOrder="0" vertical="bottom"/>
    </xf>
    <xf borderId="23" fillId="0" fontId="49" numFmtId="0" xfId="0" applyAlignment="1" applyBorder="1" applyFont="1">
      <alignment readingOrder="0"/>
    </xf>
    <xf borderId="9" fillId="2" fontId="43" numFmtId="0" xfId="0" applyAlignment="1" applyBorder="1" applyFont="1">
      <alignment readingOrder="0" shrinkToFit="0" wrapText="0"/>
    </xf>
    <xf borderId="15" fillId="2" fontId="43" numFmtId="0" xfId="0" applyAlignment="1" applyBorder="1" applyFont="1">
      <alignment shrinkToFit="0" wrapText="0"/>
    </xf>
    <xf borderId="9" fillId="2" fontId="37" numFmtId="0" xfId="0" applyAlignment="1" applyBorder="1" applyFont="1">
      <alignment horizontal="center" readingOrder="0" shrinkToFit="0" wrapText="0"/>
    </xf>
    <xf borderId="71" fillId="0" fontId="43" numFmtId="0" xfId="0" applyAlignment="1" applyBorder="1" applyFont="1">
      <alignment shrinkToFit="0" wrapText="0"/>
    </xf>
    <xf borderId="37" fillId="0" fontId="43" numFmtId="0" xfId="0" applyAlignment="1" applyBorder="1" applyFont="1">
      <alignment shrinkToFit="0" wrapText="0"/>
    </xf>
    <xf borderId="70" fillId="0" fontId="43" numFmtId="0" xfId="0" applyAlignment="1" applyBorder="1" applyFont="1">
      <alignment shrinkToFit="0" wrapText="0"/>
    </xf>
    <xf borderId="51" fillId="0" fontId="43" numFmtId="0" xfId="0" applyAlignment="1" applyBorder="1" applyFont="1">
      <alignment readingOrder="0" vertical="bottom"/>
    </xf>
    <xf borderId="52" fillId="0" fontId="47" numFmtId="0" xfId="0" applyAlignment="1" applyBorder="1" applyFont="1">
      <alignment readingOrder="0"/>
    </xf>
    <xf borderId="55" fillId="0" fontId="47" numFmtId="0" xfId="0" applyBorder="1" applyFont="1"/>
    <xf borderId="52" fillId="0" fontId="43" numFmtId="0" xfId="0" applyAlignment="1" applyBorder="1" applyFont="1">
      <alignment vertical="bottom"/>
    </xf>
    <xf borderId="55" fillId="0" fontId="43" numFmtId="0" xfId="0" applyAlignment="1" applyBorder="1" applyFont="1">
      <alignment vertical="bottom"/>
    </xf>
    <xf borderId="14" fillId="0" fontId="47" numFmtId="0" xfId="0" applyBorder="1" applyFont="1"/>
    <xf borderId="13" fillId="0" fontId="19" numFmtId="0" xfId="0" applyAlignment="1" applyBorder="1" applyFont="1">
      <alignment readingOrder="0" vertical="bottom"/>
    </xf>
    <xf borderId="50" fillId="0" fontId="43" numFmtId="0" xfId="0" applyAlignment="1" applyBorder="1" applyFont="1">
      <alignment vertical="bottom"/>
    </xf>
    <xf borderId="14" fillId="0" fontId="43" numFmtId="0" xfId="0" applyAlignment="1" applyBorder="1" applyFont="1">
      <alignment horizontal="center" readingOrder="0" shrinkToFit="0" vertical="center" wrapText="0"/>
    </xf>
    <xf borderId="15" fillId="0" fontId="43" numFmtId="0" xfId="0" applyAlignment="1" applyBorder="1" applyFont="1">
      <alignment horizontal="center" readingOrder="0" shrinkToFit="0" vertical="center" wrapText="0"/>
    </xf>
    <xf borderId="71" fillId="0" fontId="43" numFmtId="0" xfId="0" applyAlignment="1" applyBorder="1" applyFont="1">
      <alignment vertical="bottom"/>
    </xf>
    <xf borderId="37" fillId="0" fontId="43" numFmtId="0" xfId="0" applyAlignment="1" applyBorder="1" applyFont="1">
      <alignment vertical="bottom"/>
    </xf>
    <xf borderId="70" fillId="0" fontId="43" numFmtId="0" xfId="0" applyAlignment="1" applyBorder="1" applyFont="1">
      <alignment vertical="bottom"/>
    </xf>
    <xf borderId="15" fillId="4" fontId="43" numFmtId="0" xfId="0" applyAlignment="1" applyBorder="1" applyFont="1">
      <alignment readingOrder="0" vertical="bottom"/>
    </xf>
    <xf borderId="55" fillId="0" fontId="47" numFmtId="0" xfId="0" applyAlignment="1" applyBorder="1" applyFont="1">
      <alignment readingOrder="0"/>
    </xf>
    <xf borderId="14" fillId="4" fontId="48" numFmtId="0" xfId="0" applyAlignment="1" applyBorder="1" applyFont="1">
      <alignment readingOrder="0" vertical="bottom"/>
    </xf>
    <xf borderId="12" fillId="4" fontId="21" numFmtId="0" xfId="0" applyAlignment="1" applyBorder="1" applyFont="1">
      <alignment readingOrder="0" vertical="bottom"/>
    </xf>
    <xf borderId="23" fillId="5" fontId="31" numFmtId="0" xfId="0" applyAlignment="1" applyBorder="1" applyFont="1">
      <alignment horizontal="center" readingOrder="0"/>
    </xf>
    <xf borderId="50" fillId="0" fontId="43" numFmtId="0" xfId="0" applyAlignment="1" applyBorder="1" applyFont="1">
      <alignment horizontal="left" readingOrder="0" vertical="bottom"/>
    </xf>
    <xf borderId="23" fillId="5" fontId="37" numFmtId="0" xfId="0" applyAlignment="1" applyBorder="1" applyFont="1">
      <alignment horizontal="center" readingOrder="0" shrinkToFit="0" wrapText="0"/>
    </xf>
    <xf borderId="9" fillId="5" fontId="31" numFmtId="0" xfId="0" applyAlignment="1" applyBorder="1" applyFont="1">
      <alignment horizontal="center" readingOrder="0" shrinkToFit="0" vertical="center" wrapText="0"/>
    </xf>
    <xf borderId="24" fillId="0" fontId="43" numFmtId="0" xfId="0" applyAlignment="1" applyBorder="1" applyFont="1">
      <alignment shrinkToFit="0" wrapText="0"/>
    </xf>
    <xf borderId="24" fillId="0" fontId="43" numFmtId="0" xfId="0" applyAlignment="1" applyBorder="1" applyFont="1">
      <alignment readingOrder="0" vertical="bottom"/>
    </xf>
    <xf borderId="15" fillId="0" fontId="43" numFmtId="0" xfId="0" applyAlignment="1" applyBorder="1" applyFont="1">
      <alignment readingOrder="0" shrinkToFit="0" wrapText="0"/>
    </xf>
    <xf borderId="24" fillId="0" fontId="43" numFmtId="0" xfId="0" applyAlignment="1" applyBorder="1" applyFont="1">
      <alignment readingOrder="0" shrinkToFit="0" vertical="bottom" wrapText="0"/>
    </xf>
    <xf borderId="11" fillId="0" fontId="43" numFmtId="0" xfId="0" applyAlignment="1" applyBorder="1" applyFont="1">
      <alignment shrinkToFit="0" vertical="bottom" wrapText="0"/>
    </xf>
    <xf borderId="73" fillId="0" fontId="2" numFmtId="0" xfId="0" applyBorder="1" applyFont="1"/>
    <xf borderId="75" fillId="0" fontId="2" numFmtId="0" xfId="0" applyBorder="1" applyFont="1"/>
    <xf borderId="24" fillId="0" fontId="43" numFmtId="0" xfId="0" applyAlignment="1" applyBorder="1" applyFont="1">
      <alignment shrinkToFit="0" vertical="bottom" wrapText="0"/>
    </xf>
    <xf borderId="46" fillId="0" fontId="43" numFmtId="0" xfId="0" applyAlignment="1" applyBorder="1" applyFont="1">
      <alignment shrinkToFit="0" wrapText="0"/>
    </xf>
    <xf borderId="42" fillId="0" fontId="43" numFmtId="0" xfId="0" applyAlignment="1" applyBorder="1" applyFont="1">
      <alignment shrinkToFit="0" wrapText="0"/>
    </xf>
    <xf borderId="62" fillId="0" fontId="43" numFmtId="0" xfId="0" applyAlignment="1" applyBorder="1" applyFont="1">
      <alignment shrinkToFit="0" wrapText="0"/>
    </xf>
    <xf borderId="37" fillId="0" fontId="47" numFmtId="0" xfId="0" applyBorder="1" applyFont="1"/>
    <xf borderId="70" fillId="0" fontId="47" numFmtId="0" xfId="0" applyBorder="1" applyFont="1"/>
    <xf borderId="0" fillId="2" fontId="40" numFmtId="0" xfId="0" applyAlignment="1" applyFont="1">
      <alignment horizontal="left" readingOrder="0"/>
    </xf>
    <xf borderId="7" fillId="0" fontId="16" numFmtId="0" xfId="0" applyAlignment="1" applyBorder="1" applyFont="1">
      <alignment horizontal="center" shrinkToFit="0" vertical="center" wrapText="0"/>
    </xf>
    <xf borderId="5" fillId="0" fontId="16" numFmtId="0" xfId="0" applyAlignment="1" applyBorder="1" applyFont="1">
      <alignment horizontal="center" shrinkToFit="0" vertical="center" wrapText="0"/>
    </xf>
    <xf borderId="51" fillId="0" fontId="12" numFmtId="0" xfId="0" applyAlignment="1" applyBorder="1" applyFont="1">
      <alignment horizontal="center" readingOrder="0" shrinkToFit="0" wrapText="0"/>
    </xf>
    <xf borderId="7" fillId="0" fontId="12" numFmtId="0" xfId="0" applyAlignment="1" applyBorder="1" applyFont="1">
      <alignment horizontal="center" readingOrder="0" shrinkToFit="0" wrapText="0"/>
    </xf>
    <xf borderId="48" fillId="0" fontId="30" numFmtId="0" xfId="0" applyAlignment="1" applyBorder="1" applyFont="1">
      <alignment readingOrder="0" shrinkToFit="0" wrapText="0"/>
    </xf>
    <xf borderId="15" fillId="0" fontId="30" numFmtId="0" xfId="0" applyAlignment="1" applyBorder="1" applyFont="1">
      <alignment readingOrder="0" vertical="bottom"/>
    </xf>
    <xf borderId="5" fillId="0" fontId="12" numFmtId="0" xfId="0" applyAlignment="1" applyBorder="1" applyFont="1">
      <alignment horizontal="center" readingOrder="0" shrinkToFit="0" wrapText="0"/>
    </xf>
    <xf borderId="48" fillId="0" fontId="50" numFmtId="0" xfId="0" applyAlignment="1" applyBorder="1" applyFont="1">
      <alignment readingOrder="0"/>
    </xf>
    <xf borderId="15" fillId="0" fontId="30" numFmtId="0" xfId="0" applyAlignment="1" applyBorder="1" applyFont="1">
      <alignment readingOrder="0" shrinkToFit="0" wrapText="0"/>
    </xf>
    <xf borderId="50" fillId="0" fontId="50" numFmtId="0" xfId="0" applyAlignment="1" applyBorder="1" applyFont="1">
      <alignment readingOrder="0"/>
    </xf>
    <xf borderId="14" fillId="0" fontId="28" numFmtId="0" xfId="0" applyAlignment="1" applyBorder="1" applyFont="1">
      <alignment readingOrder="0" shrinkToFit="0" wrapText="0"/>
    </xf>
    <xf borderId="15" fillId="0" fontId="30" numFmtId="0" xfId="0" applyAlignment="1" applyBorder="1" applyFont="1">
      <alignment horizontal="left" readingOrder="0" shrinkToFit="0" wrapText="0"/>
    </xf>
    <xf borderId="11" fillId="0" fontId="30" numFmtId="0" xfId="0" applyAlignment="1" applyBorder="1" applyFont="1">
      <alignment readingOrder="0" vertical="bottom"/>
    </xf>
    <xf borderId="15" fillId="0" fontId="50" numFmtId="0" xfId="0" applyAlignment="1" applyBorder="1" applyFont="1">
      <alignment readingOrder="0"/>
    </xf>
    <xf borderId="50" fillId="0" fontId="30" numFmtId="0" xfId="0" applyAlignment="1" applyBorder="1" applyFont="1">
      <alignment readingOrder="0" shrinkToFit="0" wrapText="0"/>
    </xf>
    <xf borderId="15" fillId="0" fontId="50" numFmtId="0" xfId="0" applyAlignment="1" applyBorder="1" applyFont="1">
      <alignment horizontal="left" readingOrder="0"/>
    </xf>
    <xf borderId="11" fillId="0" fontId="30" numFmtId="0" xfId="0" applyAlignment="1" applyBorder="1" applyFont="1">
      <alignment vertical="bottom"/>
    </xf>
    <xf borderId="20" fillId="0" fontId="2" numFmtId="0" xfId="0" applyAlignment="1" applyBorder="1" applyFont="1">
      <alignment readingOrder="0"/>
    </xf>
    <xf borderId="68" fillId="0" fontId="50" numFmtId="0" xfId="0" applyAlignment="1" applyBorder="1" applyFont="1">
      <alignment readingOrder="0"/>
    </xf>
    <xf borderId="52" fillId="0" fontId="30" numFmtId="0" xfId="0" applyAlignment="1" applyBorder="1" applyFont="1">
      <alignment readingOrder="0" shrinkToFit="0" wrapText="0"/>
    </xf>
    <xf borderId="24" fillId="0" fontId="30" numFmtId="0" xfId="0" applyAlignment="1" applyBorder="1" applyFont="1">
      <alignment horizontal="left" readingOrder="0" shrinkToFit="0" wrapText="0"/>
    </xf>
    <xf borderId="48" fillId="0" fontId="30" numFmtId="0" xfId="0" applyAlignment="1" applyBorder="1" applyFont="1">
      <alignment horizontal="left" readingOrder="0" shrinkToFit="0" wrapText="0"/>
    </xf>
    <xf borderId="52" fillId="0" fontId="30" numFmtId="0" xfId="0" applyAlignment="1" applyBorder="1" applyFont="1">
      <alignment horizontal="center" readingOrder="0" shrinkToFit="0" wrapText="0"/>
    </xf>
    <xf borderId="24" fillId="0" fontId="30" numFmtId="0" xfId="0" applyAlignment="1" applyBorder="1" applyFont="1">
      <alignment readingOrder="0" shrinkToFit="0" wrapText="0"/>
    </xf>
    <xf borderId="52" fillId="0" fontId="51" numFmtId="0" xfId="0" applyAlignment="1" applyBorder="1" applyFont="1">
      <alignment readingOrder="0" shrinkToFit="0" wrapText="0"/>
    </xf>
    <xf borderId="55" fillId="0" fontId="51" numFmtId="0" xfId="0" applyAlignment="1" applyBorder="1" applyFont="1">
      <alignment readingOrder="0" shrinkToFit="0" wrapText="0"/>
    </xf>
    <xf borderId="9" fillId="0" fontId="30" numFmtId="0" xfId="0" applyAlignment="1" applyBorder="1" applyFont="1">
      <alignment readingOrder="0" shrinkToFit="0" wrapText="0"/>
    </xf>
    <xf borderId="24" fillId="0" fontId="30" numFmtId="0" xfId="0" applyAlignment="1" applyBorder="1" applyFont="1">
      <alignment horizontal="center" readingOrder="0" shrinkToFit="0" wrapText="0"/>
    </xf>
    <xf borderId="11" fillId="0" fontId="30" numFmtId="0" xfId="0" applyAlignment="1" applyBorder="1" applyFont="1">
      <alignment horizontal="left" readingOrder="0" shrinkToFit="0" wrapText="0"/>
    </xf>
    <xf borderId="23" fillId="0" fontId="51" numFmtId="0" xfId="0" applyAlignment="1" applyBorder="1" applyFont="1">
      <alignment horizontal="center" readingOrder="0" shrinkToFit="0" wrapText="0"/>
    </xf>
    <xf borderId="11" fillId="4" fontId="40" numFmtId="0" xfId="0" applyAlignment="1" applyBorder="1" applyFont="1">
      <alignment horizontal="left" readingOrder="0"/>
    </xf>
    <xf borderId="15" fillId="4" fontId="40" numFmtId="0" xfId="0" applyAlignment="1" applyBorder="1" applyFont="1">
      <alignment horizontal="left" readingOrder="0"/>
    </xf>
    <xf borderId="15" fillId="4" fontId="40" numFmtId="0" xfId="0" applyAlignment="1" applyBorder="1" applyFont="1">
      <alignment horizontal="center" readingOrder="0"/>
    </xf>
    <xf borderId="50" fillId="0" fontId="30" numFmtId="0" xfId="0" applyAlignment="1" applyBorder="1" applyFont="1">
      <alignment horizontal="left" readingOrder="0" shrinkToFit="0" wrapText="0"/>
    </xf>
    <xf borderId="56" fillId="5" fontId="16" numFmtId="49" xfId="0" applyAlignment="1" applyBorder="1" applyFont="1" applyNumberFormat="1">
      <alignment horizontal="center" shrinkToFit="0" wrapText="0"/>
    </xf>
    <xf borderId="47" fillId="0" fontId="16" numFmtId="49" xfId="0" applyAlignment="1" applyBorder="1" applyFont="1" applyNumberFormat="1">
      <alignment horizontal="center" shrinkToFit="0" wrapText="0"/>
    </xf>
    <xf borderId="32" fillId="7" fontId="37" numFmtId="0" xfId="0" applyAlignment="1" applyBorder="1" applyFont="1">
      <alignment horizontal="center" readingOrder="0" shrinkToFit="0" vertical="bottom" wrapText="1"/>
    </xf>
    <xf borderId="4" fillId="0" fontId="16" numFmtId="49" xfId="0" applyAlignment="1" applyBorder="1" applyFont="1" applyNumberFormat="1">
      <alignment horizontal="center" shrinkToFit="0" wrapText="0"/>
    </xf>
    <xf borderId="51" fillId="0" fontId="30" numFmtId="0" xfId="0" applyAlignment="1" applyBorder="1" applyFont="1">
      <alignment readingOrder="0" vertical="bottom"/>
    </xf>
    <xf borderId="52" fillId="0" fontId="30" numFmtId="0" xfId="0" applyAlignment="1" applyBorder="1" applyFont="1">
      <alignment readingOrder="0" vertical="bottom"/>
    </xf>
    <xf borderId="52" fillId="0" fontId="30" numFmtId="0" xfId="0" applyAlignment="1" applyBorder="1" applyFont="1">
      <alignment vertical="bottom"/>
    </xf>
    <xf borderId="52" fillId="0" fontId="30" numFmtId="0" xfId="0" applyAlignment="1" applyBorder="1" applyFont="1">
      <alignment shrinkToFit="0" wrapText="0"/>
    </xf>
    <xf borderId="52" fillId="0" fontId="30" numFmtId="0" xfId="0" applyAlignment="1" applyBorder="1" applyFont="1">
      <alignment horizontal="left" readingOrder="0" shrinkToFit="0" wrapText="0"/>
    </xf>
    <xf borderId="55" fillId="0" fontId="30" numFmtId="0" xfId="0" applyAlignment="1" applyBorder="1" applyFont="1">
      <alignment horizontal="left" readingOrder="0" shrinkToFit="0" wrapText="0"/>
    </xf>
    <xf borderId="32" fillId="0" fontId="16" numFmtId="49" xfId="0" applyAlignment="1" applyBorder="1" applyFont="1" applyNumberFormat="1">
      <alignment horizontal="center" shrinkToFit="0" wrapText="0"/>
    </xf>
    <xf borderId="14" fillId="0" fontId="30" numFmtId="0" xfId="0" applyAlignment="1" applyBorder="1" applyFont="1">
      <alignment readingOrder="0" vertical="bottom"/>
    </xf>
    <xf borderId="15" fillId="0" fontId="30" numFmtId="0" xfId="0" applyAlignment="1" applyBorder="1" applyFont="1">
      <alignment horizontal="left" shrinkToFit="0" wrapText="0"/>
    </xf>
    <xf borderId="12" fillId="0" fontId="30" numFmtId="0" xfId="0" applyAlignment="1" applyBorder="1" applyFont="1">
      <alignment horizontal="left" readingOrder="0" shrinkToFit="0" wrapText="0"/>
    </xf>
    <xf borderId="14" fillId="0" fontId="30" numFmtId="0" xfId="0" applyAlignment="1" applyBorder="1" applyFont="1">
      <alignment readingOrder="0" shrinkToFit="0" wrapText="0"/>
    </xf>
    <xf borderId="12" fillId="0" fontId="30" numFmtId="0" xfId="0" applyAlignment="1" applyBorder="1" applyFont="1">
      <alignment readingOrder="0" shrinkToFit="0" wrapText="0"/>
    </xf>
    <xf borderId="12" fillId="2" fontId="50" numFmtId="0" xfId="0" applyAlignment="1" applyBorder="1" applyFont="1">
      <alignment readingOrder="0"/>
    </xf>
    <xf borderId="14" fillId="2" fontId="30" numFmtId="0" xfId="0" applyAlignment="1" applyBorder="1" applyFont="1">
      <alignment readingOrder="0" shrinkToFit="0" wrapText="0"/>
    </xf>
    <xf borderId="12" fillId="2" fontId="16" numFmtId="0" xfId="0" applyAlignment="1" applyBorder="1" applyFont="1">
      <alignment readingOrder="0" shrinkToFit="0" wrapText="0"/>
    </xf>
    <xf borderId="60" fillId="0" fontId="16" numFmtId="49" xfId="0" applyAlignment="1" applyBorder="1" applyFont="1" applyNumberFormat="1">
      <alignment horizontal="center" shrinkToFit="0" wrapText="0"/>
    </xf>
    <xf borderId="71" fillId="0" fontId="30" numFmtId="0" xfId="0" applyAlignment="1" applyBorder="1" applyFont="1">
      <alignment shrinkToFit="0" wrapText="0"/>
    </xf>
    <xf borderId="37" fillId="0" fontId="40" numFmtId="0" xfId="0" applyAlignment="1" applyBorder="1" applyFont="1">
      <alignment shrinkToFit="0" wrapText="0"/>
    </xf>
    <xf borderId="37" fillId="0" fontId="30" numFmtId="0" xfId="0" applyAlignment="1" applyBorder="1" applyFont="1">
      <alignment shrinkToFit="0" wrapText="0"/>
    </xf>
    <xf borderId="37" fillId="0" fontId="30" numFmtId="0" xfId="0" applyAlignment="1" applyBorder="1" applyFont="1">
      <alignment horizontal="left" shrinkToFit="0" wrapText="0"/>
    </xf>
    <xf borderId="37" fillId="0" fontId="30" numFmtId="0" xfId="0" applyAlignment="1" applyBorder="1" applyFont="1">
      <alignment horizontal="left" readingOrder="0" shrinkToFit="0" wrapText="0"/>
    </xf>
    <xf borderId="70" fillId="0" fontId="30" numFmtId="0" xfId="0" applyAlignment="1" applyBorder="1" applyFont="1">
      <alignment horizontal="left" readingOrder="0" shrinkToFit="0" wrapText="0"/>
    </xf>
    <xf borderId="64" fillId="5" fontId="29" numFmtId="0" xfId="0" applyAlignment="1" applyBorder="1" applyFont="1">
      <alignment horizontal="center" readingOrder="0" shrinkToFit="0" wrapText="0"/>
    </xf>
    <xf borderId="48" fillId="0" fontId="28" numFmtId="0" xfId="0" applyAlignment="1" applyBorder="1" applyFont="1">
      <alignment horizontal="right" shrinkToFit="0" wrapText="0"/>
    </xf>
    <xf borderId="15" fillId="4" fontId="0" numFmtId="0" xfId="0" applyAlignment="1" applyBorder="1" applyFont="1">
      <alignment horizontal="left" readingOrder="0" shrinkToFit="0" wrapText="0"/>
    </xf>
    <xf borderId="51" fillId="0" fontId="30" numFmtId="0" xfId="0" applyAlignment="1" applyBorder="1" applyFont="1">
      <alignment horizontal="left" readingOrder="0" shrinkToFit="0" wrapText="0"/>
    </xf>
    <xf borderId="15" fillId="0" fontId="30" numFmtId="0" xfId="0" applyAlignment="1" applyBorder="1" applyFont="1">
      <alignment horizontal="left" readingOrder="0" vertical="bottom"/>
    </xf>
    <xf borderId="15" fillId="4" fontId="15" numFmtId="0" xfId="0" applyAlignment="1" applyBorder="1" applyFont="1">
      <alignment horizontal="left" readingOrder="0"/>
    </xf>
    <xf borderId="14" fillId="0" fontId="30" numFmtId="0" xfId="0" applyAlignment="1" applyBorder="1" applyFont="1">
      <alignment horizontal="left" readingOrder="0" shrinkToFit="0" wrapText="0"/>
    </xf>
    <xf borderId="11" fillId="0" fontId="50" numFmtId="0" xfId="0" applyAlignment="1" applyBorder="1" applyFont="1">
      <alignment readingOrder="0"/>
    </xf>
    <xf borderId="15" fillId="4" fontId="40" numFmtId="0" xfId="0" applyAlignment="1" applyBorder="1" applyFont="1">
      <alignment horizontal="left" readingOrder="0" vertical="bottom"/>
    </xf>
    <xf borderId="25" fillId="0" fontId="30" numFmtId="0" xfId="0" applyAlignment="1" applyBorder="1" applyFont="1">
      <alignment horizontal="left" readingOrder="0" shrinkToFit="0" wrapText="0"/>
    </xf>
    <xf borderId="14" fillId="0" fontId="50" numFmtId="0" xfId="0" applyAlignment="1" applyBorder="1" applyFont="1">
      <alignment horizontal="left" readingOrder="0"/>
    </xf>
    <xf borderId="14" fillId="4" fontId="15" numFmtId="0" xfId="0" applyAlignment="1" applyBorder="1" applyFont="1">
      <alignment horizontal="left" readingOrder="0"/>
    </xf>
    <xf borderId="15" fillId="0" fontId="28" numFmtId="0" xfId="0" applyAlignment="1" applyBorder="1" applyFont="1">
      <alignment horizontal="left" readingOrder="0" shrinkToFit="0" wrapText="0"/>
    </xf>
    <xf borderId="50" fillId="4" fontId="15" numFmtId="0" xfId="0" applyAlignment="1" applyBorder="1" applyFont="1">
      <alignment horizontal="left" readingOrder="0"/>
    </xf>
    <xf borderId="15" fillId="0" fontId="28" numFmtId="0" xfId="0" applyAlignment="1" applyBorder="1" applyFont="1">
      <alignment horizontal="left" shrinkToFit="0" wrapText="0"/>
    </xf>
    <xf borderId="15" fillId="4" fontId="0" numFmtId="0" xfId="0" applyAlignment="1" applyBorder="1" applyFont="1">
      <alignment horizontal="left" shrinkToFit="0" wrapText="0"/>
    </xf>
    <xf borderId="71" fillId="0" fontId="28" numFmtId="0" xfId="0" applyAlignment="1" applyBorder="1" applyFont="1">
      <alignment shrinkToFit="0" wrapText="0"/>
    </xf>
    <xf borderId="37" fillId="0" fontId="28" numFmtId="0" xfId="0" applyAlignment="1" applyBorder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17" numFmtId="0" xfId="0" applyAlignment="1" applyFont="1">
      <alignment horizontal="center" readingOrder="0" vertical="bottom"/>
    </xf>
    <xf borderId="42" fillId="0" fontId="17" numFmtId="0" xfId="0" applyAlignment="1" applyBorder="1" applyFont="1">
      <alignment horizontal="center" readingOrder="0" vertical="bottom"/>
    </xf>
    <xf borderId="5" fillId="0" fontId="45" numFmtId="0" xfId="0" applyAlignment="1" applyBorder="1" applyFont="1">
      <alignment horizontal="center" vertical="bottom"/>
    </xf>
    <xf borderId="5" fillId="0" fontId="45" numFmtId="0" xfId="0" applyAlignment="1" applyBorder="1" applyFont="1">
      <alignment horizontal="center" readingOrder="0" vertical="bottom"/>
    </xf>
    <xf borderId="76" fillId="0" fontId="16" numFmtId="0" xfId="0" applyAlignment="1" applyBorder="1" applyFont="1">
      <alignment readingOrder="0" shrinkToFit="0" vertical="bottom" wrapText="1"/>
    </xf>
    <xf borderId="47" fillId="0" fontId="13" numFmtId="0" xfId="0" applyAlignment="1" applyBorder="1" applyFont="1">
      <alignment vertical="bottom"/>
    </xf>
    <xf borderId="23" fillId="0" fontId="45" numFmtId="0" xfId="0" applyAlignment="1" applyBorder="1" applyFont="1">
      <alignment horizontal="center" readingOrder="0" vertical="bottom"/>
    </xf>
    <xf borderId="27" fillId="0" fontId="45" numFmtId="0" xfId="0" applyAlignment="1" applyBorder="1" applyFont="1">
      <alignment horizontal="center" vertical="bottom"/>
    </xf>
    <xf borderId="27" fillId="0" fontId="45" numFmtId="0" xfId="0" applyAlignment="1" applyBorder="1" applyFont="1">
      <alignment horizontal="center" readingOrder="0" vertical="bottom"/>
    </xf>
    <xf borderId="28" fillId="0" fontId="45" numFmtId="0" xfId="0" applyAlignment="1" applyBorder="1" applyFont="1">
      <alignment horizontal="center" vertical="bottom"/>
    </xf>
    <xf borderId="49" fillId="0" fontId="13" numFmtId="0" xfId="0" applyAlignment="1" applyBorder="1" applyFont="1">
      <alignment vertical="bottom"/>
    </xf>
    <xf borderId="46" fillId="0" fontId="45" numFmtId="0" xfId="0" applyAlignment="1" applyBorder="1" applyFont="1">
      <alignment horizontal="center" vertical="bottom"/>
    </xf>
    <xf borderId="45" fillId="0" fontId="45" numFmtId="0" xfId="0" applyAlignment="1" applyBorder="1" applyFont="1">
      <alignment horizontal="center" vertical="bottom"/>
    </xf>
    <xf borderId="45" fillId="0" fontId="45" numFmtId="0" xfId="0" applyAlignment="1" applyBorder="1" applyFont="1">
      <alignment horizontal="center" readingOrder="0" vertical="bottom"/>
    </xf>
    <xf borderId="46" fillId="0" fontId="45" numFmtId="0" xfId="0" applyAlignment="1" applyBorder="1" applyFont="1">
      <alignment horizontal="center" readingOrder="0" vertical="bottom"/>
    </xf>
    <xf borderId="47" fillId="0" fontId="18" numFmtId="0" xfId="0" applyAlignment="1" applyBorder="1" applyFont="1">
      <alignment horizontal="center" textRotation="255"/>
    </xf>
    <xf borderId="23" fillId="0" fontId="34" numFmtId="49" xfId="0" applyAlignment="1" applyBorder="1" applyFont="1" applyNumberFormat="1">
      <alignment horizontal="center" vertical="bottom"/>
    </xf>
    <xf borderId="4" fillId="5" fontId="31" numFmtId="0" xfId="0" applyAlignment="1" applyBorder="1" applyFont="1">
      <alignment horizontal="center" readingOrder="0" vertical="bottom"/>
    </xf>
    <xf borderId="54" fillId="0" fontId="48" numFmtId="0" xfId="0" applyAlignment="1" applyBorder="1" applyFont="1">
      <alignment vertical="bottom"/>
    </xf>
    <xf borderId="28" fillId="0" fontId="48" numFmtId="0" xfId="0" applyAlignment="1" applyBorder="1" applyFont="1">
      <alignment vertical="bottom"/>
    </xf>
    <xf borderId="28" fillId="0" fontId="31" numFmtId="0" xfId="0" applyAlignment="1" applyBorder="1" applyFont="1">
      <alignment horizontal="center" textRotation="255"/>
    </xf>
    <xf borderId="25" fillId="0" fontId="31" numFmtId="49" xfId="0" applyAlignment="1" applyBorder="1" applyFont="1" applyNumberFormat="1">
      <alignment horizontal="center" vertical="bottom"/>
    </xf>
    <xf borderId="23" fillId="5" fontId="31" numFmtId="0" xfId="0" applyAlignment="1" applyBorder="1" applyFont="1">
      <alignment horizontal="center" readingOrder="0" vertical="bottom"/>
    </xf>
    <xf borderId="32" fillId="5" fontId="31" numFmtId="0" xfId="0" applyAlignment="1" applyBorder="1" applyFont="1">
      <alignment horizontal="center" vertical="bottom"/>
    </xf>
    <xf borderId="77" fillId="0" fontId="48" numFmtId="0" xfId="0" applyAlignment="1" applyBorder="1" applyFont="1">
      <alignment vertical="bottom"/>
    </xf>
    <xf borderId="32" fillId="5" fontId="31" numFmtId="0" xfId="0" applyAlignment="1" applyBorder="1" applyFont="1">
      <alignment horizontal="center" readingOrder="0"/>
    </xf>
    <xf borderId="24" fillId="0" fontId="47" numFmtId="0" xfId="0" applyAlignment="1" applyBorder="1" applyFont="1">
      <alignment readingOrder="0"/>
    </xf>
    <xf borderId="23" fillId="5" fontId="31" numFmtId="0" xfId="0" applyAlignment="1" applyBorder="1" applyFont="1">
      <alignment horizontal="center" vertical="bottom"/>
    </xf>
    <xf borderId="48" fillId="0" fontId="48" numFmtId="0" xfId="0" applyAlignment="1" applyBorder="1" applyFont="1">
      <alignment readingOrder="0" vertical="bottom"/>
    </xf>
    <xf borderId="11" fillId="0" fontId="48" numFmtId="0" xfId="0" applyAlignment="1" applyBorder="1" applyFont="1">
      <alignment readingOrder="0" vertical="bottom"/>
    </xf>
    <xf borderId="67" fillId="0" fontId="47" numFmtId="0" xfId="0" applyAlignment="1" applyBorder="1" applyFont="1">
      <alignment readingOrder="0"/>
    </xf>
    <xf borderId="25" fillId="0" fontId="47" numFmtId="0" xfId="0" applyAlignment="1" applyBorder="1" applyFont="1">
      <alignment readingOrder="0"/>
    </xf>
    <xf borderId="15" fillId="0" fontId="48" numFmtId="0" xfId="0" applyAlignment="1" applyBorder="1" applyFont="1">
      <alignment vertical="bottom"/>
    </xf>
    <xf borderId="15" fillId="0" fontId="48" numFmtId="0" xfId="0" applyAlignment="1" applyBorder="1" applyFont="1">
      <alignment readingOrder="0" vertical="bottom"/>
    </xf>
    <xf borderId="15" fillId="0" fontId="52" numFmtId="0" xfId="0" applyAlignment="1" applyBorder="1" applyFont="1">
      <alignment readingOrder="0" vertical="bottom"/>
    </xf>
    <xf borderId="69" fillId="0" fontId="52" numFmtId="0" xfId="0" applyAlignment="1" applyBorder="1" applyFont="1">
      <alignment readingOrder="0" vertical="bottom"/>
    </xf>
    <xf borderId="11" fillId="0" fontId="48" numFmtId="0" xfId="0" applyAlignment="1" applyBorder="1" applyFont="1">
      <alignment vertical="bottom"/>
    </xf>
    <xf borderId="67" fillId="0" fontId="48" numFmtId="0" xfId="0" applyAlignment="1" applyBorder="1" applyFont="1">
      <alignment readingOrder="0" vertical="bottom"/>
    </xf>
    <xf borderId="68" fillId="0" fontId="48" numFmtId="0" xfId="0" applyAlignment="1" applyBorder="1" applyFont="1">
      <alignment horizontal="right" readingOrder="0" vertical="bottom"/>
    </xf>
    <xf borderId="0" fillId="0" fontId="34" numFmtId="49" xfId="0" applyAlignment="1" applyFont="1" applyNumberFormat="1">
      <alignment horizontal="center" vertical="bottom"/>
    </xf>
    <xf borderId="16" fillId="0" fontId="48" numFmtId="0" xfId="0" applyAlignment="1" applyBorder="1" applyFont="1">
      <alignment readingOrder="0" vertical="bottom"/>
    </xf>
    <xf borderId="67" fillId="0" fontId="13" numFmtId="0" xfId="0" applyAlignment="1" applyBorder="1" applyFont="1">
      <alignment vertical="bottom"/>
    </xf>
    <xf borderId="67" fillId="0" fontId="13" numFmtId="0" xfId="0" applyAlignment="1" applyBorder="1" applyFont="1">
      <alignment vertical="bottom"/>
    </xf>
    <xf borderId="68" fillId="0" fontId="43" numFmtId="0" xfId="0" applyAlignment="1" applyBorder="1" applyFont="1">
      <alignment readingOrder="0" vertical="bottom"/>
    </xf>
    <xf borderId="27" fillId="0" fontId="47" numFmtId="0" xfId="0" applyAlignment="1" applyBorder="1" applyFont="1">
      <alignment readingOrder="0"/>
    </xf>
    <xf borderId="75" fillId="0" fontId="47" numFmtId="0" xfId="0" applyAlignment="1" applyBorder="1" applyFont="1">
      <alignment readingOrder="0"/>
    </xf>
    <xf borderId="28" fillId="0" fontId="31" numFmtId="49" xfId="0" applyAlignment="1" applyBorder="1" applyFont="1" applyNumberFormat="1">
      <alignment horizontal="center" vertical="bottom"/>
    </xf>
    <xf borderId="20" fillId="0" fontId="48" numFmtId="0" xfId="0" applyAlignment="1" applyBorder="1" applyFont="1">
      <alignment readingOrder="0" vertical="bottom"/>
    </xf>
    <xf borderId="67" fillId="0" fontId="48" numFmtId="0" xfId="0" applyAlignment="1" applyBorder="1" applyFont="1">
      <alignment horizontal="right" readingOrder="0" vertical="bottom"/>
    </xf>
    <xf borderId="67" fillId="0" fontId="52" numFmtId="0" xfId="0" applyAlignment="1" applyBorder="1" applyFont="1">
      <alignment readingOrder="0" vertical="bottom"/>
    </xf>
    <xf borderId="68" fillId="0" fontId="48" numFmtId="0" xfId="0" applyAlignment="1" applyBorder="1" applyFont="1">
      <alignment readingOrder="0" vertical="bottom"/>
    </xf>
    <xf borderId="19" fillId="0" fontId="48" numFmtId="0" xfId="0" applyAlignment="1" applyBorder="1" applyFont="1">
      <alignment readingOrder="0" vertical="bottom"/>
    </xf>
    <xf borderId="78" fillId="0" fontId="48" numFmtId="0" xfId="0" applyAlignment="1" applyBorder="1" applyFont="1">
      <alignment readingOrder="0" vertical="bottom"/>
    </xf>
    <xf borderId="73" fillId="0" fontId="48" numFmtId="0" xfId="0" applyAlignment="1" applyBorder="1" applyFont="1">
      <alignment vertical="bottom"/>
    </xf>
    <xf borderId="69" fillId="0" fontId="13" numFmtId="0" xfId="0" applyAlignment="1" applyBorder="1" applyFont="1">
      <alignment vertical="bottom"/>
    </xf>
    <xf borderId="20" fillId="0" fontId="47" numFmtId="0" xfId="0" applyAlignment="1" applyBorder="1" applyFont="1">
      <alignment readingOrder="0"/>
    </xf>
    <xf borderId="56" fillId="0" fontId="2" numFmtId="0" xfId="0" applyBorder="1" applyFont="1"/>
    <xf borderId="50" fillId="0" fontId="48" numFmtId="0" xfId="0" applyAlignment="1" applyBorder="1" applyFont="1">
      <alignment vertical="bottom"/>
    </xf>
    <xf borderId="45" fillId="0" fontId="34" numFmtId="49" xfId="0" applyAlignment="1" applyBorder="1" applyFont="1" applyNumberFormat="1">
      <alignment horizontal="center" vertical="bottom"/>
    </xf>
    <xf borderId="37" fillId="0" fontId="48" numFmtId="0" xfId="0" applyAlignment="1" applyBorder="1" applyFont="1">
      <alignment readingOrder="0" vertical="bottom"/>
    </xf>
    <xf borderId="34" fillId="0" fontId="43" numFmtId="0" xfId="0" applyAlignment="1" applyBorder="1" applyFont="1">
      <alignment vertical="bottom"/>
    </xf>
    <xf borderId="79" fillId="0" fontId="48" numFmtId="0" xfId="0" applyAlignment="1" applyBorder="1" applyFont="1">
      <alignment vertical="bottom"/>
    </xf>
    <xf borderId="71" fillId="0" fontId="48" numFmtId="0" xfId="0" applyAlignment="1" applyBorder="1" applyFont="1">
      <alignment vertical="bottom"/>
    </xf>
    <xf borderId="37" fillId="0" fontId="48" numFmtId="0" xfId="0" applyAlignment="1" applyBorder="1" applyFont="1">
      <alignment vertical="bottom"/>
    </xf>
    <xf borderId="70" fillId="0" fontId="48" numFmtId="0" xfId="0" applyAlignment="1" applyBorder="1" applyFont="1">
      <alignment vertical="bottom"/>
    </xf>
    <xf borderId="46" fillId="0" fontId="48" numFmtId="0" xfId="0" applyAlignment="1" applyBorder="1" applyFont="1">
      <alignment vertical="bottom"/>
    </xf>
    <xf borderId="45" fillId="0" fontId="48" numFmtId="0" xfId="0" applyAlignment="1" applyBorder="1" applyFont="1">
      <alignment vertical="bottom"/>
    </xf>
    <xf borderId="17" fillId="0" fontId="43" numFmtId="0" xfId="0" applyAlignment="1" applyBorder="1" applyFont="1">
      <alignment readingOrder="0" vertical="bottom"/>
    </xf>
    <xf borderId="69" fillId="0" fontId="43" numFmtId="0" xfId="0" applyAlignment="1" applyBorder="1" applyFont="1">
      <alignment vertical="bottom"/>
    </xf>
    <xf borderId="27" fillId="0" fontId="48" numFmtId="0" xfId="0" applyAlignment="1" applyBorder="1" applyFont="1">
      <alignment readingOrder="0" vertical="bottom"/>
    </xf>
    <xf borderId="73" fillId="0" fontId="48" numFmtId="0" xfId="0" applyAlignment="1" applyBorder="1" applyFont="1">
      <alignment readingOrder="0" vertical="bottom"/>
    </xf>
    <xf borderId="69" fillId="0" fontId="48" numFmtId="0" xfId="0" applyAlignment="1" applyBorder="1" applyFont="1">
      <alignment vertical="bottom"/>
    </xf>
    <xf borderId="29" fillId="0" fontId="48" numFmtId="0" xfId="0" applyAlignment="1" applyBorder="1" applyFont="1">
      <alignment readingOrder="0" vertical="bottom"/>
    </xf>
    <xf borderId="73" fillId="4" fontId="48" numFmtId="0" xfId="0" applyAlignment="1" applyBorder="1" applyFont="1">
      <alignment readingOrder="0"/>
    </xf>
    <xf borderId="48" fillId="0" fontId="48" numFmtId="0" xfId="0" applyAlignment="1" applyBorder="1" applyFont="1">
      <alignment vertical="bottom"/>
    </xf>
    <xf borderId="69" fillId="0" fontId="48" numFmtId="0" xfId="0" applyAlignment="1" applyBorder="1" applyFont="1">
      <alignment readingOrder="0" vertical="bottom"/>
    </xf>
    <xf borderId="24" fillId="0" fontId="48" numFmtId="0" xfId="0" applyAlignment="1" applyBorder="1" applyFont="1">
      <alignment readingOrder="0" vertical="bottom"/>
    </xf>
    <xf borderId="75" fillId="0" fontId="48" numFmtId="0" xfId="0" applyAlignment="1" applyBorder="1" applyFont="1">
      <alignment readingOrder="0" vertical="bottom"/>
    </xf>
    <xf borderId="67" fillId="0" fontId="43" numFmtId="0" xfId="0" applyAlignment="1" applyBorder="1" applyFont="1">
      <alignment readingOrder="0" vertical="bottom"/>
    </xf>
    <xf borderId="67" fillId="0" fontId="48" numFmtId="0" xfId="0" applyAlignment="1" applyBorder="1" applyFont="1">
      <alignment vertical="bottom"/>
    </xf>
    <xf borderId="78" fillId="0" fontId="48" numFmtId="0" xfId="0" applyAlignment="1" applyBorder="1" applyFont="1">
      <alignment vertical="bottom"/>
    </xf>
    <xf borderId="0" fillId="0" fontId="31" numFmtId="49" xfId="0" applyAlignment="1" applyFont="1" applyNumberFormat="1">
      <alignment horizontal="center" vertical="bottom"/>
    </xf>
    <xf borderId="67" fillId="0" fontId="2" numFmtId="0" xfId="0" applyBorder="1" applyFont="1"/>
    <xf borderId="68" fillId="0" fontId="2" numFmtId="0" xfId="0" applyBorder="1" applyFont="1"/>
    <xf borderId="16" fillId="4" fontId="48" numFmtId="0" xfId="0" applyAlignment="1" applyBorder="1" applyFont="1">
      <alignment readingOrder="0"/>
    </xf>
    <xf borderId="14" fillId="0" fontId="43" numFmtId="0" xfId="0" applyAlignment="1" applyBorder="1" applyFont="1">
      <alignment vertical="bottom"/>
    </xf>
    <xf borderId="50" fillId="0" fontId="48" numFmtId="0" xfId="0" applyAlignment="1" applyBorder="1" applyFont="1">
      <alignment vertical="bottom"/>
    </xf>
    <xf borderId="14" fillId="0" fontId="48" numFmtId="0" xfId="0" applyAlignment="1" applyBorder="1" applyFont="1">
      <alignment vertical="bottom"/>
    </xf>
    <xf borderId="67" fillId="0" fontId="48" numFmtId="0" xfId="0" applyAlignment="1" applyBorder="1" applyFont="1">
      <alignment readingOrder="0" shrinkToFit="0" vertical="bottom" wrapText="1"/>
    </xf>
    <xf borderId="67" fillId="0" fontId="43" numFmtId="0" xfId="0" applyAlignment="1" applyBorder="1" applyFont="1">
      <alignment vertical="bottom"/>
    </xf>
    <xf borderId="30" fillId="0" fontId="43" numFmtId="0" xfId="0" applyAlignment="1" applyBorder="1" applyFont="1">
      <alignment vertical="bottom"/>
    </xf>
    <xf borderId="18" fillId="0" fontId="43" numFmtId="0" xfId="0" applyAlignment="1" applyBorder="1" applyFont="1">
      <alignment vertical="bottom"/>
    </xf>
    <xf borderId="15" fillId="0" fontId="48" numFmtId="0" xfId="0" applyAlignment="1" applyBorder="1" applyFont="1">
      <alignment readingOrder="0" shrinkToFit="0" vertical="bottom" wrapText="1"/>
    </xf>
    <xf borderId="18" fillId="8" fontId="37" numFmtId="0" xfId="0" applyAlignment="1" applyBorder="1" applyFill="1" applyFont="1">
      <alignment horizontal="center" readingOrder="0" vertical="bottom"/>
    </xf>
    <xf borderId="23" fillId="0" fontId="31" numFmtId="49" xfId="0" applyAlignment="1" applyBorder="1" applyFont="1" applyNumberFormat="1">
      <alignment horizontal="center" vertical="bottom"/>
    </xf>
    <xf borderId="9" fillId="8" fontId="31" numFmtId="0" xfId="0" applyAlignment="1" applyBorder="1" applyFont="1">
      <alignment horizontal="left" readingOrder="0"/>
    </xf>
    <xf borderId="12" fillId="8" fontId="31" numFmtId="0" xfId="0" applyAlignment="1" applyBorder="1" applyFont="1">
      <alignment horizontal="left" readingOrder="0"/>
    </xf>
    <xf borderId="10" fillId="8" fontId="31" numFmtId="0" xfId="0" applyAlignment="1" applyBorder="1" applyFont="1">
      <alignment horizontal="left" readingOrder="0"/>
    </xf>
    <xf borderId="50" fillId="0" fontId="48" numFmtId="0" xfId="0" applyAlignment="1" applyBorder="1" applyFont="1">
      <alignment readingOrder="0" vertical="bottom"/>
    </xf>
    <xf borderId="42" fillId="0" fontId="48" numFmtId="0" xfId="0" applyAlignment="1" applyBorder="1" applyFont="1">
      <alignment vertical="bottom"/>
    </xf>
    <xf borderId="11" fillId="0" fontId="48" numFmtId="0" xfId="0" applyAlignment="1" applyBorder="1" applyFont="1">
      <alignment vertical="bottom"/>
    </xf>
    <xf borderId="42" fillId="0" fontId="31" numFmtId="49" xfId="0" applyAlignment="1" applyBorder="1" applyFont="1" applyNumberFormat="1">
      <alignment horizontal="center" vertical="bottom"/>
    </xf>
    <xf borderId="37" fillId="0" fontId="48" numFmtId="0" xfId="0" applyAlignment="1" applyBorder="1" applyFont="1">
      <alignment vertical="bottom"/>
    </xf>
    <xf borderId="70" fillId="0" fontId="48" numFmtId="0" xfId="0" applyAlignment="1" applyBorder="1" applyFont="1">
      <alignment vertical="bottom"/>
    </xf>
    <xf borderId="34" fillId="0" fontId="48" numFmtId="0" xfId="0" applyAlignment="1" applyBorder="1" applyFont="1">
      <alignment vertical="bottom"/>
    </xf>
    <xf borderId="25" fillId="0" fontId="34" numFmtId="49" xfId="0" applyAlignment="1" applyBorder="1" applyFont="1" applyNumberFormat="1">
      <alignment horizontal="center" vertical="bottom"/>
    </xf>
    <xf borderId="24" fillId="0" fontId="48" numFmtId="0" xfId="0" applyAlignment="1" applyBorder="1" applyFont="1">
      <alignment vertical="bottom"/>
    </xf>
    <xf borderId="25" fillId="0" fontId="48" numFmtId="0" xfId="0" applyAlignment="1" applyBorder="1" applyFont="1">
      <alignment vertical="bottom"/>
    </xf>
    <xf borderId="51" fillId="0" fontId="48" numFmtId="0" xfId="0" applyAlignment="1" applyBorder="1" applyFont="1">
      <alignment readingOrder="0" vertical="bottom"/>
    </xf>
    <xf borderId="52" fillId="0" fontId="48" numFmtId="0" xfId="0" applyAlignment="1" applyBorder="1" applyFont="1">
      <alignment readingOrder="0" vertical="bottom"/>
    </xf>
    <xf borderId="17" fillId="0" fontId="48" numFmtId="0" xfId="0" applyAlignment="1" applyBorder="1" applyFont="1">
      <alignment vertical="bottom"/>
    </xf>
    <xf borderId="28" fillId="0" fontId="34" numFmtId="49" xfId="0" applyAlignment="1" applyBorder="1" applyFont="1" applyNumberFormat="1">
      <alignment horizontal="center" vertical="bottom"/>
    </xf>
    <xf borderId="27" fillId="0" fontId="48" numFmtId="0" xfId="0" applyAlignment="1" applyBorder="1" applyFont="1">
      <alignment vertical="bottom"/>
    </xf>
    <xf borderId="28" fillId="0" fontId="48" numFmtId="0" xfId="0" applyAlignment="1" applyBorder="1" applyFont="1">
      <alignment readingOrder="0" vertical="bottom"/>
    </xf>
    <xf borderId="20" fillId="0" fontId="48" numFmtId="0" xfId="0" applyAlignment="1" applyBorder="1" applyFont="1">
      <alignment vertical="bottom"/>
    </xf>
    <xf borderId="16" fillId="0" fontId="48" numFmtId="0" xfId="0" applyAlignment="1" applyBorder="1" applyFont="1">
      <alignment vertical="bottom"/>
    </xf>
    <xf borderId="50" fillId="0" fontId="52" numFmtId="0" xfId="0" applyAlignment="1" applyBorder="1" applyFont="1">
      <alignment readingOrder="0" vertical="bottom"/>
    </xf>
    <xf borderId="23" fillId="5" fontId="37" numFmtId="0" xfId="0" applyAlignment="1" applyBorder="1" applyFont="1">
      <alignment horizontal="center" readingOrder="0" vertical="bottom"/>
    </xf>
    <xf borderId="77" fillId="0" fontId="43" numFmtId="0" xfId="0" applyAlignment="1" applyBorder="1" applyFont="1">
      <alignment vertical="bottom"/>
    </xf>
    <xf borderId="28" fillId="0" fontId="43" numFmtId="0" xfId="0" applyAlignment="1" applyBorder="1" applyFont="1">
      <alignment vertical="bottom"/>
    </xf>
    <xf borderId="25" fillId="0" fontId="37" numFmtId="49" xfId="0" applyAlignment="1" applyBorder="1" applyFont="1" applyNumberFormat="1">
      <alignment horizontal="center" vertical="bottom"/>
    </xf>
    <xf borderId="32" fillId="5" fontId="37" numFmtId="0" xfId="0" applyAlignment="1" applyBorder="1" applyFont="1">
      <alignment horizontal="center" readingOrder="0" vertical="bottom"/>
    </xf>
    <xf borderId="23" fillId="5" fontId="37" numFmtId="0" xfId="0" applyAlignment="1" applyBorder="1" applyFont="1">
      <alignment horizontal="center" readingOrder="0" shrinkToFit="0" vertical="bottom" wrapText="1"/>
    </xf>
    <xf borderId="42" fillId="2" fontId="31" numFmtId="0" xfId="0" applyAlignment="1" applyBorder="1" applyFont="1">
      <alignment horizontal="center" vertical="bottom"/>
    </xf>
    <xf borderId="45" fillId="0" fontId="31" numFmtId="49" xfId="0" applyAlignment="1" applyBorder="1" applyFont="1" applyNumberFormat="1">
      <alignment horizontal="center" vertical="bottom"/>
    </xf>
    <xf borderId="60" fillId="2" fontId="31" numFmtId="0" xfId="0" applyAlignment="1" applyBorder="1" applyFont="1">
      <alignment horizontal="center" vertical="bottom"/>
    </xf>
    <xf borderId="67" fillId="0" fontId="48" numFmtId="0" xfId="0" applyAlignment="1" applyBorder="1" applyFont="1">
      <alignment vertical="bottom"/>
    </xf>
    <xf borderId="27" fillId="0" fontId="48" numFmtId="0" xfId="0" applyAlignment="1" applyBorder="1" applyFont="1">
      <alignment readingOrder="0" shrinkToFit="0" vertical="bottom" wrapText="1"/>
    </xf>
    <xf borderId="73" fillId="0" fontId="48" numFmtId="0" xfId="0" applyAlignment="1" applyBorder="1" applyFont="1">
      <alignment readingOrder="0" shrinkToFit="0" vertical="bottom" wrapText="1"/>
    </xf>
    <xf borderId="68" fillId="0" fontId="13" numFmtId="0" xfId="0" applyAlignment="1" applyBorder="1" applyFont="1">
      <alignment vertical="bottom"/>
    </xf>
    <xf borderId="21" fillId="0" fontId="31" numFmtId="49" xfId="0" applyAlignment="1" applyBorder="1" applyFont="1" applyNumberFormat="1">
      <alignment horizontal="center" vertical="bottom"/>
    </xf>
    <xf borderId="16" fillId="4" fontId="48" numFmtId="0" xfId="0" applyAlignment="1" applyBorder="1" applyFont="1">
      <alignment readingOrder="0" vertical="bottom"/>
    </xf>
    <xf borderId="67" fillId="4" fontId="48" numFmtId="0" xfId="0" applyAlignment="1" applyBorder="1" applyFont="1">
      <alignment readingOrder="0"/>
    </xf>
    <xf borderId="15" fillId="0" fontId="31" numFmtId="0" xfId="0" applyAlignment="1" applyBorder="1" applyFont="1">
      <alignment horizontal="left" readingOrder="0"/>
    </xf>
    <xf borderId="50" fillId="0" fontId="31" numFmtId="0" xfId="0" applyAlignment="1" applyBorder="1" applyFont="1">
      <alignment horizontal="left" readingOrder="0"/>
    </xf>
    <xf borderId="11" fillId="0" fontId="31" numFmtId="0" xfId="0" applyAlignment="1" applyBorder="1" applyFont="1">
      <alignment horizontal="left" readingOrder="0"/>
    </xf>
    <xf borderId="13" fillId="0" fontId="31" numFmtId="49" xfId="0" applyAlignment="1" applyBorder="1" applyFont="1" applyNumberFormat="1">
      <alignment horizontal="center" vertical="bottom"/>
    </xf>
    <xf borderId="14" fillId="0" fontId="31" numFmtId="0" xfId="0" applyAlignment="1" applyBorder="1" applyFont="1">
      <alignment horizontal="left" readingOrder="0"/>
    </xf>
    <xf borderId="10" fillId="0" fontId="31" numFmtId="49" xfId="0" applyAlignment="1" applyBorder="1" applyFont="1" applyNumberFormat="1">
      <alignment horizontal="center" vertical="bottom"/>
    </xf>
    <xf borderId="68" fillId="4" fontId="52" numFmtId="0" xfId="0" applyAlignment="1" applyBorder="1" applyFont="1">
      <alignment horizontal="left" readingOrder="0"/>
    </xf>
    <xf borderId="20" fillId="4" fontId="48" numFmtId="0" xfId="0" applyAlignment="1" applyBorder="1" applyFont="1">
      <alignment readingOrder="0" vertical="bottom"/>
    </xf>
    <xf borderId="67" fillId="4" fontId="48" numFmtId="0" xfId="0" applyAlignment="1" applyBorder="1" applyFont="1">
      <alignment readingOrder="0" vertical="bottom"/>
    </xf>
    <xf borderId="20" fillId="0" fontId="13" numFmtId="0" xfId="0" applyAlignment="1" applyBorder="1" applyFont="1">
      <alignment vertical="bottom"/>
    </xf>
    <xf borderId="20" fillId="0" fontId="43" numFmtId="0" xfId="0" applyAlignment="1" applyBorder="1" applyFont="1">
      <alignment readingOrder="0" vertical="bottom"/>
    </xf>
    <xf borderId="19" fillId="0" fontId="31" numFmtId="49" xfId="0" applyAlignment="1" applyBorder="1" applyFont="1" applyNumberFormat="1">
      <alignment horizontal="center" vertical="bottom"/>
    </xf>
    <xf borderId="68" fillId="4" fontId="48" numFmtId="0" xfId="0" applyAlignment="1" applyBorder="1" applyFont="1">
      <alignment horizontal="left" readingOrder="0"/>
    </xf>
    <xf borderId="67" fillId="0" fontId="48" numFmtId="0" xfId="0" applyAlignment="1" applyBorder="1" applyFont="1">
      <alignment shrinkToFit="0" vertical="bottom" wrapText="1"/>
    </xf>
    <xf borderId="38" fillId="0" fontId="31" numFmtId="49" xfId="0" applyAlignment="1" applyBorder="1" applyFont="1" applyNumberFormat="1">
      <alignment horizontal="center" vertical="bottom"/>
    </xf>
    <xf borderId="25" fillId="0" fontId="48" numFmtId="0" xfId="0" applyAlignment="1" applyBorder="1" applyFont="1">
      <alignment readingOrder="0" vertical="bottom"/>
    </xf>
    <xf borderId="47" fillId="0" fontId="31" numFmtId="0" xfId="0" applyAlignment="1" applyBorder="1" applyFont="1">
      <alignment horizontal="center" textRotation="255"/>
    </xf>
    <xf borderId="24" fillId="4" fontId="48" numFmtId="0" xfId="0" applyAlignment="1" applyBorder="1" applyFont="1">
      <alignment readingOrder="0"/>
    </xf>
    <xf borderId="48" fillId="0" fontId="48" numFmtId="0" xfId="0" applyAlignment="1" applyBorder="1" applyFont="1">
      <alignment readingOrder="0" shrinkToFit="0" vertical="bottom" wrapText="1"/>
    </xf>
    <xf borderId="73" fillId="0" fontId="43" numFmtId="0" xfId="0" applyAlignment="1" applyBorder="1" applyFont="1">
      <alignment readingOrder="0" vertical="bottom"/>
    </xf>
    <xf borderId="73" fillId="0" fontId="13" numFmtId="0" xfId="0" applyAlignment="1" applyBorder="1" applyFont="1">
      <alignment vertical="bottom"/>
    </xf>
    <xf borderId="48" fillId="0" fontId="43" numFmtId="0" xfId="0" applyAlignment="1" applyBorder="1" applyFont="1">
      <alignment readingOrder="0" shrinkToFit="0" vertical="bottom" wrapText="1"/>
    </xf>
    <xf borderId="19" fillId="5" fontId="31" numFmtId="0" xfId="0" applyAlignment="1" applyBorder="1" applyFont="1">
      <alignment horizontal="center" readingOrder="0" vertical="bottom"/>
    </xf>
    <xf borderId="20" fillId="4" fontId="48" numFmtId="0" xfId="0" applyAlignment="1" applyBorder="1" applyFont="1">
      <alignment readingOrder="0"/>
    </xf>
    <xf borderId="67" fillId="0" fontId="43" numFmtId="0" xfId="0" applyAlignment="1" applyBorder="1" applyFont="1">
      <alignment shrinkToFit="0" vertical="bottom" wrapText="1"/>
    </xf>
    <xf borderId="67" fillId="4" fontId="48" numFmtId="0" xfId="0" applyAlignment="1" applyBorder="1" applyFont="1">
      <alignment readingOrder="0" shrinkToFit="0" vertical="bottom" wrapText="1"/>
    </xf>
    <xf borderId="68" fillId="0" fontId="2" numFmtId="0" xfId="0" applyAlignment="1" applyBorder="1" applyFont="1">
      <alignment readingOrder="0"/>
    </xf>
    <xf borderId="16" fillId="0" fontId="48" numFmtId="0" xfId="0" applyAlignment="1" applyBorder="1" applyFont="1">
      <alignment readingOrder="0" shrinkToFit="0" vertical="bottom" wrapText="1"/>
    </xf>
    <xf borderId="67" fillId="0" fontId="31" numFmtId="0" xfId="0" applyAlignment="1" applyBorder="1" applyFont="1">
      <alignment horizontal="left" readingOrder="0"/>
    </xf>
    <xf borderId="68" fillId="0" fontId="31" numFmtId="0" xfId="0" applyAlignment="1" applyBorder="1" applyFont="1">
      <alignment horizontal="left" readingOrder="0"/>
    </xf>
    <xf borderId="16" fillId="0" fontId="34" numFmtId="0" xfId="0" applyAlignment="1" applyBorder="1" applyFont="1">
      <alignment horizontal="left" readingOrder="0"/>
    </xf>
    <xf borderId="67" fillId="0" fontId="34" numFmtId="0" xfId="0" applyAlignment="1" applyBorder="1" applyFont="1">
      <alignment horizontal="left" readingOrder="0"/>
    </xf>
    <xf borderId="0" fillId="5" fontId="31" numFmtId="0" xfId="0" applyAlignment="1" applyFont="1">
      <alignment horizontal="center" readingOrder="0" shrinkToFit="0" vertical="bottom" wrapText="1"/>
    </xf>
    <xf borderId="78" fillId="0" fontId="2" numFmtId="0" xfId="0" applyBorder="1" applyFont="1"/>
    <xf borderId="68" fillId="0" fontId="48" numFmtId="0" xfId="0" applyAlignment="1" applyBorder="1" applyFont="1">
      <alignment vertical="bottom"/>
    </xf>
    <xf borderId="19" fillId="5" fontId="31" numFmtId="0" xfId="0" applyAlignment="1" applyBorder="1" applyFont="1">
      <alignment horizontal="center" readingOrder="0" shrinkToFit="0" vertical="bottom" wrapText="1"/>
    </xf>
    <xf borderId="73" fillId="0" fontId="47" numFmtId="0" xfId="0" applyAlignment="1" applyBorder="1" applyFont="1">
      <alignment readingOrder="0"/>
    </xf>
    <xf borderId="78" fillId="0" fontId="48" numFmtId="0" xfId="0" applyAlignment="1" applyBorder="1" applyFont="1">
      <alignment horizontal="right" readingOrder="0" vertical="bottom"/>
    </xf>
    <xf borderId="0" fillId="0" fontId="48" numFmtId="0" xfId="0" applyAlignment="1" applyFont="1">
      <alignment horizontal="right" readingOrder="0" vertical="bottom"/>
    </xf>
    <xf borderId="30" fillId="5" fontId="31" numFmtId="0" xfId="0" applyAlignment="1" applyBorder="1" applyFont="1">
      <alignment horizontal="center" readingOrder="0" vertical="bottom"/>
    </xf>
    <xf borderId="77" fillId="0" fontId="2" numFmtId="0" xfId="0" applyBorder="1" applyFont="1"/>
    <xf borderId="34" fillId="0" fontId="48" numFmtId="0" xfId="0" applyAlignment="1" applyBorder="1" applyFont="1">
      <alignment vertical="bottom"/>
    </xf>
    <xf borderId="45" fillId="0" fontId="48" numFmtId="0" xfId="0" applyAlignment="1" applyBorder="1" applyFont="1">
      <alignment readingOrder="0" vertical="bottom"/>
    </xf>
    <xf borderId="0" fillId="0" fontId="15" numFmtId="14" xfId="0" applyAlignment="1" applyFont="1" applyNumberFormat="1">
      <alignment vertical="bottom"/>
    </xf>
    <xf borderId="0" fillId="0" fontId="15" numFmtId="0" xfId="0" applyAlignment="1" applyFont="1">
      <alignment shrinkToFit="0" vertical="bottom" wrapText="1"/>
    </xf>
    <xf borderId="0" fillId="0" fontId="13" numFmtId="0" xfId="0" applyAlignment="1" applyFont="1">
      <alignment readingOrder="0" vertical="bottom"/>
    </xf>
    <xf borderId="0" fillId="0" fontId="27" numFmtId="0" xfId="0" applyAlignment="1" applyFont="1">
      <alignment horizontal="center" readingOrder="0"/>
    </xf>
    <xf borderId="4" fillId="0" fontId="16" numFmtId="0" xfId="0" applyAlignment="1" applyBorder="1" applyFont="1">
      <alignment horizontal="center"/>
    </xf>
    <xf borderId="5" fillId="0" fontId="16" numFmtId="0" xfId="0" applyAlignment="1" applyBorder="1" applyFont="1">
      <alignment horizontal="center"/>
    </xf>
    <xf borderId="5" fillId="0" fontId="16" numFmtId="0" xfId="0" applyAlignment="1" applyBorder="1" applyFont="1">
      <alignment horizontal="center" readingOrder="0"/>
    </xf>
    <xf borderId="61" fillId="0" fontId="16" numFmtId="0" xfId="0" applyAlignment="1" applyBorder="1" applyFont="1">
      <alignment horizontal="center" vertical="bottom"/>
    </xf>
    <xf borderId="25" fillId="0" fontId="16" numFmtId="49" xfId="0" applyAlignment="1" applyBorder="1" applyFont="1" applyNumberFormat="1">
      <alignment horizontal="center" vertical="bottom"/>
    </xf>
    <xf borderId="51" fillId="0" fontId="13" numFmtId="0" xfId="0" applyAlignment="1" applyBorder="1" applyFont="1">
      <alignment readingOrder="0" vertical="bottom"/>
    </xf>
    <xf borderId="52" fillId="0" fontId="13" numFmtId="0" xfId="0" applyAlignment="1" applyBorder="1" applyFont="1">
      <alignment readingOrder="0" vertical="bottom"/>
    </xf>
    <xf borderId="55" fillId="0" fontId="13" numFmtId="0" xfId="0" applyAlignment="1" applyBorder="1" applyFont="1">
      <alignment vertical="bottom"/>
    </xf>
    <xf borderId="48" fillId="0" fontId="15" numFmtId="0" xfId="0" applyAlignment="1" applyBorder="1" applyFont="1">
      <alignment readingOrder="0" vertical="bottom"/>
    </xf>
    <xf borderId="69" fillId="0" fontId="15" numFmtId="0" xfId="0" applyAlignment="1" applyBorder="1" applyFont="1">
      <alignment readingOrder="0" vertical="bottom"/>
    </xf>
    <xf borderId="28" fillId="0" fontId="16" numFmtId="49" xfId="0" applyAlignment="1" applyBorder="1" applyFont="1" applyNumberFormat="1">
      <alignment horizontal="center" vertical="bottom"/>
    </xf>
    <xf borderId="16" fillId="0" fontId="13" numFmtId="0" xfId="0" applyAlignment="1" applyBorder="1" applyFont="1">
      <alignment vertical="bottom"/>
    </xf>
    <xf borderId="67" fillId="0" fontId="13" numFmtId="0" xfId="0" applyAlignment="1" applyBorder="1" applyFont="1">
      <alignment readingOrder="0" vertical="bottom"/>
    </xf>
    <xf borderId="67" fillId="0" fontId="2" numFmtId="0" xfId="0" applyAlignment="1" applyBorder="1" applyFont="1">
      <alignment readingOrder="0"/>
    </xf>
    <xf borderId="68" fillId="0" fontId="13" numFmtId="0" xfId="0" applyAlignment="1" applyBorder="1" applyFont="1">
      <alignment readingOrder="0" vertical="bottom"/>
    </xf>
    <xf borderId="20" fillId="0" fontId="13" numFmtId="0" xfId="0" applyAlignment="1" applyBorder="1" applyFont="1">
      <alignment readingOrder="0" vertical="bottom"/>
    </xf>
    <xf borderId="68" fillId="0" fontId="13" numFmtId="0" xfId="0" applyAlignment="1" applyBorder="1" applyFont="1">
      <alignment vertical="bottom"/>
    </xf>
    <xf borderId="15" fillId="0" fontId="2" numFmtId="0" xfId="0" applyAlignment="1" applyBorder="1" applyFont="1">
      <alignment readingOrder="0"/>
    </xf>
    <xf borderId="50" fillId="0" fontId="2" numFmtId="0" xfId="0" applyAlignment="1" applyBorder="1" applyFont="1">
      <alignment readingOrder="0"/>
    </xf>
    <xf borderId="11" fillId="0" fontId="15" numFmtId="0" xfId="0" applyAlignment="1" applyBorder="1" applyFont="1">
      <alignment readingOrder="0" vertical="bottom"/>
    </xf>
    <xf borderId="15" fillId="0" fontId="15" numFmtId="0" xfId="0" applyAlignment="1" applyBorder="1" applyFont="1">
      <alignment readingOrder="0" vertical="bottom"/>
    </xf>
    <xf borderId="67" fillId="0" fontId="15" numFmtId="0" xfId="0" applyAlignment="1" applyBorder="1" applyFont="1">
      <alignment readingOrder="0" vertical="bottom"/>
    </xf>
    <xf borderId="68" fillId="0" fontId="15" numFmtId="0" xfId="0" applyAlignment="1" applyBorder="1" applyFont="1">
      <alignment readingOrder="0" vertical="bottom"/>
    </xf>
    <xf borderId="29" fillId="0" fontId="17" numFmtId="0" xfId="0" applyAlignment="1" applyBorder="1" applyFont="1">
      <alignment horizontal="center" readingOrder="0" vertical="bottom"/>
    </xf>
    <xf borderId="73" fillId="0" fontId="17" numFmtId="0" xfId="0" applyAlignment="1" applyBorder="1" applyFont="1">
      <alignment horizontal="center" readingOrder="0" vertical="bottom"/>
    </xf>
    <xf borderId="67" fillId="0" fontId="17" numFmtId="0" xfId="0" applyAlignment="1" applyBorder="1" applyFont="1">
      <alignment horizontal="center" readingOrder="0" vertical="bottom"/>
    </xf>
    <xf borderId="27" fillId="0" fontId="17" numFmtId="0" xfId="0" applyAlignment="1" applyBorder="1" applyFont="1">
      <alignment horizontal="center" readingOrder="0" vertical="bottom"/>
    </xf>
    <xf borderId="73" fillId="0" fontId="15" numFmtId="0" xfId="0" applyAlignment="1" applyBorder="1" applyFont="1">
      <alignment horizontal="center" readingOrder="0" vertical="bottom"/>
    </xf>
    <xf borderId="75" fillId="0" fontId="17" numFmtId="0" xfId="0" applyAlignment="1" applyBorder="1" applyFont="1">
      <alignment horizontal="center" readingOrder="0" vertical="bottom"/>
    </xf>
    <xf borderId="17" fillId="0" fontId="17" numFmtId="0" xfId="0" applyAlignment="1" applyBorder="1" applyFont="1">
      <alignment horizontal="center" readingOrder="0" vertical="bottom"/>
    </xf>
    <xf borderId="48" fillId="0" fontId="17" numFmtId="0" xfId="0" applyAlignment="1" applyBorder="1" applyFont="1">
      <alignment horizontal="center" readingOrder="0" vertical="bottom"/>
    </xf>
    <xf borderId="15" fillId="0" fontId="17" numFmtId="0" xfId="0" applyAlignment="1" applyBorder="1" applyFont="1">
      <alignment horizontal="center" readingOrder="0" vertical="bottom"/>
    </xf>
    <xf borderId="48" fillId="0" fontId="2" numFmtId="0" xfId="0" applyAlignment="1" applyBorder="1" applyFont="1">
      <alignment readingOrder="0"/>
    </xf>
    <xf borderId="50" fillId="0" fontId="15" numFmtId="0" xfId="0" applyAlignment="1" applyBorder="1" applyFont="1">
      <alignment readingOrder="0" vertical="bottom"/>
    </xf>
    <xf borderId="24" fillId="0" fontId="17" numFmtId="0" xfId="0" applyAlignment="1" applyBorder="1" applyFont="1">
      <alignment horizontal="center" readingOrder="0" vertical="bottom"/>
    </xf>
    <xf borderId="69" fillId="0" fontId="15" numFmtId="0" xfId="0" applyAlignment="1" applyBorder="1" applyFont="1">
      <alignment horizontal="center" readingOrder="0" vertical="bottom"/>
    </xf>
    <xf borderId="45" fillId="0" fontId="16" numFmtId="49" xfId="0" applyAlignment="1" applyBorder="1" applyFont="1" applyNumberFormat="1">
      <alignment horizontal="center" vertical="bottom"/>
    </xf>
    <xf borderId="61" fillId="0" fontId="15" numFmtId="0" xfId="0" applyAlignment="1" applyBorder="1" applyFont="1">
      <alignment vertical="bottom"/>
    </xf>
    <xf borderId="34" fillId="0" fontId="15" numFmtId="0" xfId="0" applyAlignment="1" applyBorder="1" applyFont="1">
      <alignment vertical="bottom"/>
    </xf>
    <xf borderId="37" fillId="0" fontId="15" numFmtId="0" xfId="0" applyAlignment="1" applyBorder="1" applyFont="1">
      <alignment vertical="bottom"/>
    </xf>
    <xf borderId="37" fillId="0" fontId="2" numFmtId="0" xfId="0" applyBorder="1" applyFont="1"/>
    <xf borderId="70" fillId="0" fontId="15" numFmtId="0" xfId="0" applyAlignment="1" applyBorder="1" applyFont="1">
      <alignment vertical="bottom"/>
    </xf>
    <xf borderId="23" fillId="5" fontId="17" numFmtId="0" xfId="0" applyAlignment="1" applyBorder="1" applyFont="1">
      <alignment horizontal="center" vertical="bottom"/>
    </xf>
    <xf borderId="0" fillId="5" fontId="17" numFmtId="0" xfId="0" applyAlignment="1" applyFont="1">
      <alignment horizontal="center" readingOrder="0" vertical="center"/>
    </xf>
    <xf borderId="23" fillId="5" fontId="17" numFmtId="0" xfId="0" applyAlignment="1" applyBorder="1" applyFont="1">
      <alignment horizontal="center" readingOrder="0" vertical="bottom"/>
    </xf>
    <xf borderId="12" fillId="8" fontId="37" numFmtId="0" xfId="0" applyAlignment="1" applyBorder="1" applyFont="1">
      <alignment horizontal="center" readingOrder="0" vertical="bottom"/>
    </xf>
    <xf borderId="62" fillId="0" fontId="15" numFmtId="0" xfId="0" applyAlignment="1" applyBorder="1" applyFont="1">
      <alignment vertical="bottom"/>
    </xf>
    <xf borderId="63" fillId="0" fontId="15" numFmtId="0" xfId="0" applyAlignment="1" applyBorder="1" applyFont="1">
      <alignment vertical="bottom"/>
    </xf>
    <xf borderId="29" fillId="0" fontId="15" numFmtId="0" xfId="0" applyAlignment="1" applyBorder="1" applyFont="1">
      <alignment readingOrder="0" vertical="bottom"/>
    </xf>
    <xf borderId="27" fillId="0" fontId="15" numFmtId="0" xfId="0" applyAlignment="1" applyBorder="1" applyFont="1">
      <alignment readingOrder="0" vertical="bottom"/>
    </xf>
    <xf borderId="75" fillId="0" fontId="13" numFmtId="0" xfId="0" applyAlignment="1" applyBorder="1" applyFont="1">
      <alignment vertical="bottom"/>
    </xf>
    <xf borderId="20" fillId="0" fontId="15" numFmtId="0" xfId="0" applyAlignment="1" applyBorder="1" applyFont="1">
      <alignment readingOrder="0" vertical="bottom"/>
    </xf>
    <xf borderId="23" fillId="0" fontId="13" numFmtId="0" xfId="0" applyAlignment="1" applyBorder="1" applyFont="1">
      <alignment vertical="bottom"/>
    </xf>
    <xf borderId="17" fillId="0" fontId="13" numFmtId="0" xfId="0" applyAlignment="1" applyBorder="1" applyFont="1">
      <alignment vertical="bottom"/>
    </xf>
    <xf borderId="11" fillId="0" fontId="13" numFmtId="0" xfId="0" applyAlignment="1" applyBorder="1" applyFont="1">
      <alignment readingOrder="0" vertical="bottom"/>
    </xf>
    <xf borderId="15" fillId="0" fontId="13" numFmtId="0" xfId="0" applyAlignment="1" applyBorder="1" applyFont="1">
      <alignment readingOrder="0" vertical="bottom"/>
    </xf>
    <xf borderId="28" fillId="0" fontId="13" numFmtId="0" xfId="0" applyAlignment="1" applyBorder="1" applyFont="1">
      <alignment readingOrder="0" vertical="bottom"/>
    </xf>
    <xf borderId="28" fillId="0" fontId="15" numFmtId="0" xfId="0" applyAlignment="1" applyBorder="1" applyFont="1">
      <alignment readingOrder="0" vertical="bottom"/>
    </xf>
    <xf borderId="29" fillId="0" fontId="15" numFmtId="0" xfId="0" applyAlignment="1" applyBorder="1" applyFont="1">
      <alignment vertical="bottom"/>
    </xf>
    <xf borderId="27" fillId="0" fontId="13" numFmtId="0" xfId="0" applyAlignment="1" applyBorder="1" applyFont="1">
      <alignment vertical="bottom"/>
    </xf>
    <xf borderId="20" fillId="0" fontId="13" numFmtId="0" xfId="0" applyAlignment="1" applyBorder="1" applyFont="1">
      <alignment vertical="bottom"/>
    </xf>
    <xf borderId="0" fillId="2" fontId="17" numFmtId="0" xfId="0" applyAlignment="1" applyFont="1">
      <alignment horizontal="center" vertical="bottom"/>
    </xf>
    <xf borderId="5" fillId="5" fontId="45" numFmtId="0" xfId="0" applyAlignment="1" applyBorder="1" applyFont="1">
      <alignment horizontal="center" readingOrder="0" vertical="bottom"/>
    </xf>
    <xf borderId="55" fillId="5" fontId="45" numFmtId="0" xfId="0" applyAlignment="1" applyBorder="1" applyFont="1">
      <alignment horizontal="center" readingOrder="0" vertical="bottom"/>
    </xf>
    <xf borderId="10" fillId="5" fontId="45" numFmtId="0" xfId="0" applyAlignment="1" applyBorder="1" applyFont="1">
      <alignment horizontal="center" readingOrder="0"/>
    </xf>
    <xf borderId="50" fillId="5" fontId="45" numFmtId="0" xfId="0" applyAlignment="1" applyBorder="1" applyFont="1">
      <alignment horizontal="center" shrinkToFit="0" vertical="bottom" wrapText="1"/>
    </xf>
    <xf borderId="10" fillId="5" fontId="45" numFmtId="0" xfId="0" applyAlignment="1" applyBorder="1" applyFont="1">
      <alignment horizontal="center" shrinkToFit="0" vertical="bottom" wrapText="1"/>
    </xf>
    <xf borderId="10" fillId="5" fontId="45" numFmtId="0" xfId="0" applyAlignment="1" applyBorder="1" applyFont="1">
      <alignment horizontal="center" vertical="bottom"/>
    </xf>
    <xf borderId="50" fillId="5" fontId="45" numFmtId="0" xfId="0" applyAlignment="1" applyBorder="1" applyFont="1">
      <alignment horizontal="center" readingOrder="0" vertical="bottom"/>
    </xf>
    <xf borderId="10" fillId="5" fontId="45" numFmtId="0" xfId="0" applyAlignment="1" applyBorder="1" applyFont="1">
      <alignment horizontal="center" readingOrder="0" vertical="bottom"/>
    </xf>
    <xf borderId="23" fillId="5" fontId="45" numFmtId="0" xfId="0" applyAlignment="1" applyBorder="1" applyFont="1">
      <alignment horizontal="center" readingOrder="0" vertical="bottom"/>
    </xf>
    <xf borderId="17" fillId="0" fontId="13" numFmtId="0" xfId="0" applyAlignment="1" applyBorder="1" applyFont="1">
      <alignment readingOrder="0" vertical="bottom"/>
    </xf>
    <xf borderId="48" fillId="0" fontId="13" numFmtId="0" xfId="0" applyAlignment="1" applyBorder="1" applyFont="1">
      <alignment readingOrder="0" vertical="bottom"/>
    </xf>
    <xf borderId="69" fillId="0" fontId="13" numFmtId="0" xfId="0" applyAlignment="1" applyBorder="1" applyFont="1">
      <alignment vertical="bottom"/>
    </xf>
    <xf borderId="24" fillId="0" fontId="15" numFmtId="0" xfId="0" applyAlignment="1" applyBorder="1" applyFont="1">
      <alignment readingOrder="0" vertical="bottom"/>
    </xf>
    <xf borderId="25" fillId="0" fontId="15" numFmtId="0" xfId="0" applyAlignment="1" applyBorder="1" applyFont="1">
      <alignment readingOrder="0" vertical="bottom"/>
    </xf>
    <xf borderId="48" fillId="0" fontId="13" numFmtId="0" xfId="0" applyAlignment="1" applyBorder="1" applyFont="1">
      <alignment vertical="bottom"/>
    </xf>
    <xf borderId="50" fillId="0" fontId="13" numFmtId="0" xfId="0" applyAlignment="1" applyBorder="1" applyFont="1">
      <alignment readingOrder="0" vertical="bottom"/>
    </xf>
    <xf borderId="52" fillId="0" fontId="15" numFmtId="0" xfId="0" applyAlignment="1" applyBorder="1" applyFont="1">
      <alignment readingOrder="0" vertical="bottom"/>
    </xf>
    <xf borderId="14" fillId="0" fontId="13" numFmtId="0" xfId="0" applyAlignment="1" applyBorder="1" applyFont="1">
      <alignment readingOrder="0" vertical="bottom"/>
    </xf>
    <xf borderId="73" fillId="0" fontId="15" numFmtId="0" xfId="0" applyAlignment="1" applyBorder="1" applyFont="1">
      <alignment readingOrder="0" vertical="bottom"/>
    </xf>
    <xf borderId="16" fillId="0" fontId="15" numFmtId="0" xfId="0" applyAlignment="1" applyBorder="1" applyFont="1">
      <alignment readingOrder="0" vertical="bottom"/>
    </xf>
    <xf borderId="14" fillId="0" fontId="13" numFmtId="0" xfId="0" applyAlignment="1" applyBorder="1" applyFont="1">
      <alignment vertical="bottom"/>
    </xf>
    <xf borderId="15" fillId="0" fontId="13" numFmtId="0" xfId="0" applyAlignment="1" applyBorder="1" applyFont="1">
      <alignment vertical="bottom"/>
    </xf>
    <xf borderId="71" fillId="0" fontId="13" numFmtId="0" xfId="0" applyAlignment="1" applyBorder="1" applyFont="1">
      <alignment vertical="bottom"/>
    </xf>
    <xf borderId="37" fillId="0" fontId="13" numFmtId="0" xfId="0" applyAlignment="1" applyBorder="1" applyFont="1">
      <alignment vertical="bottom"/>
    </xf>
    <xf borderId="80" fillId="4" fontId="30" numFmtId="14" xfId="0" applyAlignment="1" applyBorder="1" applyFont="1" applyNumberFormat="1">
      <alignment vertical="bottom"/>
    </xf>
    <xf borderId="81" fillId="0" fontId="2" numFmtId="0" xfId="0" applyBorder="1" applyFont="1"/>
    <xf borderId="82" fillId="0" fontId="13" numFmtId="49" xfId="0" applyAlignment="1" applyBorder="1" applyFont="1" applyNumberFormat="1">
      <alignment shrinkToFit="0" vertical="bottom" wrapText="0"/>
    </xf>
    <xf borderId="82" fillId="0" fontId="13" numFmtId="0" xfId="0" applyAlignment="1" applyBorder="1" applyFont="1">
      <alignment vertical="bottom"/>
    </xf>
    <xf borderId="0" fillId="0" fontId="14" numFmtId="0" xfId="0" applyAlignment="1" applyFont="1">
      <alignment readingOrder="0" vertical="bottom"/>
    </xf>
    <xf borderId="0" fillId="0" fontId="28" numFmtId="22" xfId="0" applyAlignment="1" applyFont="1" applyNumberFormat="1">
      <alignment shrinkToFit="0" wrapText="0"/>
    </xf>
    <xf borderId="4" fillId="0" fontId="16" numFmtId="0" xfId="0" applyAlignment="1" applyBorder="1" applyFont="1">
      <alignment horizontal="center" readingOrder="0" shrinkToFit="0" wrapText="1"/>
    </xf>
    <xf borderId="53" fillId="0" fontId="16" numFmtId="0" xfId="0" applyAlignment="1" applyBorder="1" applyFont="1">
      <alignment horizontal="center" shrinkToFit="0" wrapText="0"/>
    </xf>
    <xf borderId="4" fillId="0" fontId="16" numFmtId="0" xfId="0" applyAlignment="1" applyBorder="1" applyFont="1">
      <alignment horizontal="center" readingOrder="0" shrinkToFit="0" wrapText="0"/>
    </xf>
    <xf borderId="76" fillId="9" fontId="16" numFmtId="0" xfId="0" applyAlignment="1" applyBorder="1" applyFill="1" applyFont="1">
      <alignment horizontal="center" shrinkToFit="0" vertical="center" wrapText="1"/>
    </xf>
    <xf borderId="4" fillId="0" fontId="45" numFmtId="0" xfId="0" applyAlignment="1" applyBorder="1" applyFont="1">
      <alignment horizontal="center" readingOrder="0" shrinkToFit="0" wrapText="1"/>
    </xf>
    <xf borderId="53" fillId="0" fontId="16" numFmtId="0" xfId="0" applyAlignment="1" applyBorder="1" applyFont="1">
      <alignment horizontal="center" readingOrder="0" shrinkToFit="0" wrapText="1"/>
    </xf>
    <xf borderId="60" fillId="0" fontId="45" numFmtId="0" xfId="0" applyAlignment="1" applyBorder="1" applyFont="1">
      <alignment horizontal="center" readingOrder="0" shrinkToFit="0" wrapText="1"/>
    </xf>
    <xf borderId="45" fillId="0" fontId="45" numFmtId="0" xfId="0" applyAlignment="1" applyBorder="1" applyFont="1">
      <alignment horizontal="center" readingOrder="0" shrinkToFit="0" wrapText="1"/>
    </xf>
    <xf borderId="60" fillId="0" fontId="16" numFmtId="0" xfId="0" applyAlignment="1" applyBorder="1" applyFont="1">
      <alignment horizontal="center" shrinkToFit="0" wrapText="0"/>
    </xf>
    <xf borderId="33" fillId="0" fontId="16" numFmtId="0" xfId="0" applyAlignment="1" applyBorder="1" applyFont="1">
      <alignment horizontal="center" readingOrder="0" shrinkToFit="0" wrapText="0"/>
    </xf>
    <xf borderId="0" fillId="0" fontId="16" numFmtId="0" xfId="0" applyAlignment="1" applyFont="1">
      <alignment horizontal="center" readingOrder="0" shrinkToFit="0" wrapText="0"/>
    </xf>
    <xf borderId="60" fillId="0" fontId="16" numFmtId="0" xfId="0" applyAlignment="1" applyBorder="1" applyFont="1">
      <alignment horizontal="center" readingOrder="0" shrinkToFit="0" wrapText="1"/>
    </xf>
    <xf borderId="45" fillId="0" fontId="16" numFmtId="0" xfId="0" applyAlignment="1" applyBorder="1" applyFont="1">
      <alignment horizontal="center" readingOrder="0" shrinkToFit="0" wrapText="1"/>
    </xf>
    <xf borderId="31" fillId="0" fontId="45" numFmtId="0" xfId="0" applyAlignment="1" applyBorder="1" applyFont="1">
      <alignment horizontal="center" readingOrder="0" shrinkToFit="0" wrapText="1"/>
    </xf>
    <xf borderId="28" fillId="0" fontId="45" numFmtId="0" xfId="0" applyAlignment="1" applyBorder="1" applyFont="1">
      <alignment horizontal="center" readingOrder="0" shrinkToFit="0" wrapText="1"/>
    </xf>
    <xf borderId="17" fillId="0" fontId="43" numFmtId="0" xfId="0" applyAlignment="1" applyBorder="1" applyFont="1">
      <alignment shrinkToFit="0" wrapText="0"/>
    </xf>
    <xf borderId="23" fillId="0" fontId="43" numFmtId="0" xfId="0" applyAlignment="1" applyBorder="1" applyFont="1">
      <alignment shrinkToFit="0" wrapText="0"/>
    </xf>
    <xf borderId="51" fillId="0" fontId="43" numFmtId="0" xfId="0" applyAlignment="1" applyBorder="1" applyFont="1">
      <alignment shrinkToFit="0" wrapText="0"/>
    </xf>
    <xf borderId="55" fillId="0" fontId="43" numFmtId="0" xfId="0" applyAlignment="1" applyBorder="1" applyFont="1">
      <alignment shrinkToFit="0" wrapText="0"/>
    </xf>
    <xf borderId="6" fillId="0" fontId="43" numFmtId="0" xfId="0" applyAlignment="1" applyBorder="1" applyFont="1">
      <alignment shrinkToFit="0" wrapText="0"/>
    </xf>
    <xf borderId="5" fillId="0" fontId="43" numFmtId="0" xfId="0" applyAlignment="1" applyBorder="1" applyFont="1">
      <alignment shrinkToFit="0" wrapText="0"/>
    </xf>
    <xf borderId="5" fillId="9" fontId="43" numFmtId="0" xfId="0" applyAlignment="1" applyBorder="1" applyFont="1">
      <alignment shrinkToFit="0" wrapText="0"/>
    </xf>
    <xf borderId="4" fillId="5" fontId="31" numFmtId="0" xfId="0" applyAlignment="1" applyBorder="1" applyFont="1">
      <alignment horizontal="center" readingOrder="0" shrinkToFit="0" wrapText="0"/>
    </xf>
    <xf borderId="11" fillId="0" fontId="43" numFmtId="0" xfId="0" applyAlignment="1" applyBorder="1" applyFont="1">
      <alignment shrinkToFit="0" wrapText="0"/>
    </xf>
    <xf borderId="10" fillId="0" fontId="43" numFmtId="0" xfId="0" applyAlignment="1" applyBorder="1" applyFont="1">
      <alignment shrinkToFit="0" wrapText="0"/>
    </xf>
    <xf borderId="10" fillId="9" fontId="43" numFmtId="0" xfId="0" applyAlignment="1" applyBorder="1" applyFont="1">
      <alignment shrinkToFit="0" wrapText="0"/>
    </xf>
    <xf borderId="9" fillId="0" fontId="48" numFmtId="0" xfId="0" applyAlignment="1" applyBorder="1" applyFont="1">
      <alignment horizontal="left" readingOrder="0" shrinkToFit="0" wrapText="0"/>
    </xf>
    <xf borderId="10" fillId="0" fontId="48" numFmtId="0" xfId="0" applyAlignment="1" applyBorder="1" applyFont="1">
      <alignment horizontal="left" readingOrder="0" shrinkToFit="0" wrapText="0"/>
    </xf>
    <xf borderId="14" fillId="0" fontId="48" numFmtId="0" xfId="0" applyAlignment="1" applyBorder="1" applyFont="1">
      <alignment shrinkToFit="0" wrapText="0"/>
    </xf>
    <xf borderId="15" fillId="0" fontId="48" numFmtId="0" xfId="0" applyAlignment="1" applyBorder="1" applyFont="1">
      <alignment shrinkToFit="0" wrapText="0"/>
    </xf>
    <xf borderId="50" fillId="0" fontId="48" numFmtId="0" xfId="0" applyAlignment="1" applyBorder="1" applyFont="1">
      <alignment shrinkToFit="0" wrapText="0"/>
    </xf>
    <xf borderId="47" fillId="0" fontId="18" numFmtId="49" xfId="0" applyAlignment="1" applyBorder="1" applyFont="1" applyNumberFormat="1">
      <alignment horizontal="center" shrinkToFit="0" wrapText="0"/>
    </xf>
    <xf borderId="16" fillId="0" fontId="43" numFmtId="0" xfId="0" applyAlignment="1" applyBorder="1" applyFont="1">
      <alignment shrinkToFit="0" wrapText="0"/>
    </xf>
    <xf borderId="20" fillId="0" fontId="43" numFmtId="0" xfId="0" applyAlignment="1" applyBorder="1" applyFont="1">
      <alignment shrinkToFit="0" wrapText="0"/>
    </xf>
    <xf borderId="19" fillId="0" fontId="43" numFmtId="0" xfId="0" applyAlignment="1" applyBorder="1" applyFont="1">
      <alignment shrinkToFit="0" wrapText="0"/>
    </xf>
    <xf borderId="68" fillId="0" fontId="43" numFmtId="0" xfId="0" applyAlignment="1" applyBorder="1" applyFont="1">
      <alignment shrinkToFit="0" wrapText="0"/>
    </xf>
    <xf borderId="19" fillId="0" fontId="43" numFmtId="0" xfId="0" applyAlignment="1" applyBorder="1" applyFont="1">
      <alignment horizontal="right" readingOrder="0" shrinkToFit="0" wrapText="0"/>
    </xf>
    <xf borderId="68" fillId="0" fontId="43" numFmtId="0" xfId="0" applyAlignment="1" applyBorder="1" applyFont="1">
      <alignment horizontal="right" readingOrder="0" shrinkToFit="0" wrapText="0"/>
    </xf>
    <xf borderId="11" fillId="9" fontId="37" numFmtId="0" xfId="0" applyAlignment="1" applyBorder="1" applyFont="1">
      <alignment horizontal="center" readingOrder="0" shrinkToFit="0" wrapText="0"/>
    </xf>
    <xf borderId="19" fillId="0" fontId="48" numFmtId="0" xfId="0" applyAlignment="1" applyBorder="1" applyFont="1">
      <alignment horizontal="left" readingOrder="0" shrinkToFit="0" wrapText="0"/>
    </xf>
    <xf borderId="21" fillId="0" fontId="48" numFmtId="0" xfId="0" applyAlignment="1" applyBorder="1" applyFont="1">
      <alignment horizontal="left" readingOrder="0" shrinkToFit="0" wrapText="0"/>
    </xf>
    <xf borderId="16" fillId="0" fontId="48" numFmtId="0" xfId="0" applyAlignment="1" applyBorder="1" applyFont="1">
      <alignment shrinkToFit="0" wrapText="0"/>
    </xf>
    <xf borderId="67" fillId="0" fontId="48" numFmtId="0" xfId="0" applyAlignment="1" applyBorder="1" applyFont="1">
      <alignment shrinkToFit="0" wrapText="0"/>
    </xf>
    <xf borderId="68" fillId="0" fontId="48" numFmtId="0" xfId="0" applyAlignment="1" applyBorder="1" applyFont="1">
      <alignment shrinkToFit="0" wrapText="0"/>
    </xf>
    <xf borderId="0" fillId="0" fontId="53" numFmtId="0" xfId="0" applyAlignment="1" applyFont="1">
      <alignment readingOrder="0"/>
    </xf>
    <xf borderId="10" fillId="9" fontId="37" numFmtId="0" xfId="0" applyAlignment="1" applyBorder="1" applyFont="1">
      <alignment horizontal="center" readingOrder="0" shrinkToFit="0" wrapText="0"/>
    </xf>
    <xf borderId="9" fillId="0" fontId="43" numFmtId="0" xfId="0" applyAlignment="1" applyBorder="1" applyFont="1">
      <alignment horizontal="center" readingOrder="0" shrinkToFit="0" wrapText="0"/>
    </xf>
    <xf borderId="9" fillId="5" fontId="37" numFmtId="2" xfId="0" applyAlignment="1" applyBorder="1" applyFont="1" applyNumberFormat="1">
      <alignment horizontal="center" shrinkToFit="0" wrapText="0"/>
    </xf>
    <xf borderId="13" fillId="0" fontId="48" numFmtId="0" xfId="0" applyAlignment="1" applyBorder="1" applyFont="1">
      <alignment shrinkToFit="0" wrapText="0"/>
    </xf>
    <xf borderId="9" fillId="5" fontId="37" numFmtId="2" xfId="0" applyAlignment="1" applyBorder="1" applyFont="1" applyNumberFormat="1">
      <alignment horizontal="center" readingOrder="0" shrinkToFit="0" wrapText="0"/>
    </xf>
    <xf borderId="42" fillId="0" fontId="48" numFmtId="0" xfId="0" applyAlignment="1" applyBorder="1" applyFont="1">
      <alignment horizontal="left" readingOrder="0"/>
    </xf>
    <xf borderId="0" fillId="0" fontId="48" numFmtId="0" xfId="0" applyAlignment="1" applyFont="1">
      <alignment horizontal="right" readingOrder="0"/>
    </xf>
    <xf borderId="60" fillId="0" fontId="48" numFmtId="0" xfId="0" applyAlignment="1" applyBorder="1" applyFont="1">
      <alignment horizontal="right" readingOrder="0"/>
    </xf>
    <xf borderId="27" fillId="0" fontId="25" numFmtId="0" xfId="0" applyBorder="1" applyFont="1"/>
    <xf borderId="28" fillId="0" fontId="54" numFmtId="0" xfId="0" applyAlignment="1" applyBorder="1" applyFont="1">
      <alignment readingOrder="0"/>
    </xf>
    <xf borderId="10" fillId="9" fontId="48" numFmtId="0" xfId="0" applyAlignment="1" applyBorder="1" applyFont="1">
      <alignment horizontal="left" shrinkToFit="0" wrapText="0"/>
    </xf>
    <xf borderId="42" fillId="4" fontId="48" numFmtId="0" xfId="0" applyAlignment="1" applyBorder="1" applyFont="1">
      <alignment horizontal="left" readingOrder="0"/>
    </xf>
    <xf borderId="0" fillId="0" fontId="54" numFmtId="0" xfId="0" applyAlignment="1" applyFont="1">
      <alignment readingOrder="0"/>
    </xf>
    <xf borderId="71" fillId="0" fontId="48" numFmtId="0" xfId="0" applyAlignment="1" applyBorder="1" applyFont="1">
      <alignment shrinkToFit="0" wrapText="0"/>
    </xf>
    <xf borderId="27" fillId="0" fontId="48" numFmtId="0" xfId="0" applyAlignment="1" applyBorder="1" applyFont="1">
      <alignment shrinkToFit="0" wrapText="0"/>
    </xf>
    <xf borderId="0" fillId="0" fontId="48" numFmtId="0" xfId="0" applyAlignment="1" applyFont="1">
      <alignment shrinkToFit="0" wrapText="0"/>
    </xf>
    <xf borderId="51" fillId="0" fontId="48" numFmtId="0" xfId="0" applyAlignment="1" applyBorder="1" applyFont="1">
      <alignment shrinkToFit="0" wrapText="0"/>
    </xf>
    <xf borderId="55" fillId="0" fontId="48" numFmtId="0" xfId="0" applyAlignment="1" applyBorder="1" applyFont="1">
      <alignment shrinkToFit="0" wrapText="0"/>
    </xf>
    <xf borderId="6" fillId="0" fontId="48" numFmtId="0" xfId="0" applyAlignment="1" applyBorder="1" applyFont="1">
      <alignment shrinkToFit="0" wrapText="0"/>
    </xf>
    <xf borderId="52" fillId="0" fontId="48" numFmtId="0" xfId="0" applyAlignment="1" applyBorder="1" applyFont="1">
      <alignment shrinkToFit="0" wrapText="0"/>
    </xf>
    <xf borderId="5" fillId="0" fontId="48" numFmtId="0" xfId="0" applyAlignment="1" applyBorder="1" applyFont="1">
      <alignment shrinkToFit="0" wrapText="0"/>
    </xf>
    <xf borderId="5" fillId="9" fontId="48" numFmtId="0" xfId="0" applyAlignment="1" applyBorder="1" applyFont="1">
      <alignment shrinkToFit="0" wrapText="0"/>
    </xf>
    <xf borderId="11" fillId="0" fontId="48" numFmtId="0" xfId="0" applyAlignment="1" applyBorder="1" applyFont="1">
      <alignment shrinkToFit="0" wrapText="0"/>
    </xf>
    <xf borderId="10" fillId="0" fontId="48" numFmtId="0" xfId="0" applyAlignment="1" applyBorder="1" applyFont="1">
      <alignment shrinkToFit="0" wrapText="0"/>
    </xf>
    <xf borderId="10" fillId="9" fontId="48" numFmtId="0" xfId="0" applyAlignment="1" applyBorder="1" applyFont="1">
      <alignment shrinkToFit="0" wrapText="0"/>
    </xf>
    <xf borderId="9" fillId="0" fontId="48" numFmtId="0" xfId="0" applyAlignment="1" applyBorder="1" applyFont="1">
      <alignment horizontal="right" readingOrder="0" shrinkToFit="0" wrapText="0"/>
    </xf>
    <xf borderId="10" fillId="0" fontId="48" numFmtId="0" xfId="0" applyAlignment="1" applyBorder="1" applyFont="1">
      <alignment horizontal="right" readingOrder="0" shrinkToFit="0" wrapText="0"/>
    </xf>
    <xf borderId="14" fillId="0" fontId="43" numFmtId="0" xfId="0" applyAlignment="1" applyBorder="1" applyFont="1">
      <alignment readingOrder="0" shrinkToFit="0" wrapText="0"/>
    </xf>
    <xf borderId="50" fillId="0" fontId="43" numFmtId="0" xfId="0" applyAlignment="1" applyBorder="1" applyFont="1">
      <alignment horizontal="right" readingOrder="0" shrinkToFit="0" wrapText="0"/>
    </xf>
    <xf borderId="9" fillId="0" fontId="43" numFmtId="0" xfId="0" applyAlignment="1" applyBorder="1" applyFont="1">
      <alignment readingOrder="0" shrinkToFit="0" wrapText="0"/>
    </xf>
    <xf borderId="13" fillId="0" fontId="43" numFmtId="0" xfId="0" applyAlignment="1" applyBorder="1" applyFont="1">
      <alignment horizontal="left" readingOrder="0" shrinkToFit="0" wrapText="0"/>
    </xf>
    <xf borderId="9" fillId="5" fontId="31" numFmtId="2" xfId="0" applyAlignment="1" applyBorder="1" applyFont="1" applyNumberFormat="1">
      <alignment horizontal="center" readingOrder="0" shrinkToFit="0" wrapText="0"/>
    </xf>
    <xf borderId="15" fillId="0" fontId="0" numFmtId="0" xfId="0" applyAlignment="1" applyBorder="1" applyFont="1">
      <alignment shrinkToFit="0" wrapText="0"/>
    </xf>
    <xf borderId="10" fillId="0" fontId="0" numFmtId="0" xfId="0" applyAlignment="1" applyBorder="1" applyFont="1">
      <alignment shrinkToFit="0" wrapText="0"/>
    </xf>
    <xf borderId="38" fillId="0" fontId="43" numFmtId="0" xfId="0" applyAlignment="1" applyBorder="1" applyFont="1">
      <alignment shrinkToFit="0" wrapText="0"/>
    </xf>
    <xf borderId="28" fillId="0" fontId="48" numFmtId="0" xfId="0" applyAlignment="1" applyBorder="1" applyFont="1">
      <alignment horizontal="left" readingOrder="0"/>
    </xf>
    <xf borderId="83" fillId="9" fontId="48" numFmtId="0" xfId="0" applyAlignment="1" applyBorder="1" applyFont="1">
      <alignment horizontal="right" shrinkToFit="0" wrapText="0"/>
    </xf>
    <xf borderId="42" fillId="0" fontId="48" numFmtId="0" xfId="0" applyAlignment="1" applyBorder="1" applyFont="1">
      <alignment horizontal="right" readingOrder="0"/>
    </xf>
    <xf borderId="46" fillId="0" fontId="48" numFmtId="0" xfId="0" applyAlignment="1" applyBorder="1" applyFont="1">
      <alignment horizontal="left" readingOrder="0"/>
    </xf>
    <xf borderId="36" fillId="0" fontId="21" numFmtId="0" xfId="0" applyAlignment="1" applyBorder="1" applyFont="1">
      <alignment shrinkToFit="0" wrapText="0"/>
    </xf>
    <xf borderId="76" fillId="0" fontId="18" numFmtId="49" xfId="0" applyAlignment="1" applyBorder="1" applyFont="1" applyNumberFormat="1">
      <alignment horizontal="center" shrinkToFit="0" wrapText="0"/>
    </xf>
    <xf borderId="84" fillId="0" fontId="43" numFmtId="0" xfId="0" applyAlignment="1" applyBorder="1" applyFont="1">
      <alignment shrinkToFit="0" wrapText="0"/>
    </xf>
    <xf borderId="85" fillId="0" fontId="43" numFmtId="0" xfId="0" applyAlignment="1" applyBorder="1" applyFont="1">
      <alignment shrinkToFit="0" wrapText="0"/>
    </xf>
    <xf borderId="43" fillId="0" fontId="43" numFmtId="0" xfId="0" applyAlignment="1" applyBorder="1" applyFont="1">
      <alignment shrinkToFit="0" wrapText="0"/>
    </xf>
    <xf borderId="8" fillId="9" fontId="43" numFmtId="0" xfId="0" applyAlignment="1" applyBorder="1" applyFont="1">
      <alignment shrinkToFit="0" wrapText="0"/>
    </xf>
    <xf borderId="30" fillId="5" fontId="37" numFmtId="2" xfId="0" applyAlignment="1" applyBorder="1" applyFont="1" applyNumberFormat="1">
      <alignment horizontal="left" readingOrder="0" shrinkToFit="0" wrapText="0"/>
    </xf>
    <xf borderId="25" fillId="9" fontId="43" numFmtId="0" xfId="0" applyAlignment="1" applyBorder="1" applyFont="1">
      <alignment shrinkToFit="0" wrapText="0"/>
    </xf>
    <xf borderId="32" fillId="0" fontId="34" numFmtId="0" xfId="0" applyAlignment="1" applyBorder="1" applyFont="1">
      <alignment horizontal="center" readingOrder="0" shrinkToFit="0" wrapText="0"/>
    </xf>
    <xf borderId="23" fillId="0" fontId="34" numFmtId="0" xfId="0" applyAlignment="1" applyBorder="1" applyFont="1">
      <alignment horizontal="center" readingOrder="0" shrinkToFit="0" wrapText="0"/>
    </xf>
    <xf borderId="67" fillId="0" fontId="43" numFmtId="0" xfId="0" applyAlignment="1" applyBorder="1" applyFont="1">
      <alignment shrinkToFit="0" wrapText="0"/>
    </xf>
    <xf borderId="13" fillId="9" fontId="43" numFmtId="0" xfId="0" applyAlignment="1" applyBorder="1" applyFont="1">
      <alignment shrinkToFit="0" wrapText="0"/>
    </xf>
    <xf borderId="0" fillId="0" fontId="43" numFmtId="0" xfId="0" applyAlignment="1" applyFont="1">
      <alignment shrinkToFit="0" wrapText="0"/>
    </xf>
    <xf borderId="29" fillId="0" fontId="48" numFmtId="0" xfId="0" applyAlignment="1" applyBorder="1" applyFont="1">
      <alignment horizontal="center" readingOrder="0" shrinkToFit="0" wrapText="0"/>
    </xf>
    <xf borderId="27" fillId="0" fontId="43" numFmtId="0" xfId="0" applyAlignment="1" applyBorder="1" applyFont="1">
      <alignment horizontal="center" readingOrder="0" shrinkToFit="0" wrapText="0"/>
    </xf>
    <xf borderId="16" fillId="0" fontId="43" numFmtId="0" xfId="0" applyAlignment="1" applyBorder="1" applyFont="1">
      <alignment horizontal="center" readingOrder="0" shrinkToFit="0" wrapText="0"/>
    </xf>
    <xf borderId="68" fillId="0" fontId="0" numFmtId="0" xfId="0" applyAlignment="1" applyBorder="1" applyFont="1">
      <alignment horizontal="center" shrinkToFit="0" wrapText="0"/>
    </xf>
    <xf borderId="14" fillId="0" fontId="21" numFmtId="0" xfId="0" applyAlignment="1" applyBorder="1" applyFont="1">
      <alignment shrinkToFit="0" wrapText="0"/>
    </xf>
    <xf borderId="10" fillId="0" fontId="34" numFmtId="0" xfId="0" applyAlignment="1" applyBorder="1" applyFont="1">
      <alignment readingOrder="0" shrinkToFit="0" wrapText="0"/>
    </xf>
    <xf borderId="14" fillId="0" fontId="19" numFmtId="0" xfId="0" applyAlignment="1" applyBorder="1" applyFont="1">
      <alignment horizontal="center" shrinkToFit="0" wrapText="0"/>
    </xf>
    <xf borderId="13" fillId="0" fontId="43" numFmtId="0" xfId="0" applyAlignment="1" applyBorder="1" applyFont="1">
      <alignment horizontal="center" readingOrder="0" shrinkToFit="0" wrapText="0"/>
    </xf>
    <xf borderId="16" fillId="0" fontId="21" numFmtId="0" xfId="0" applyAlignment="1" applyBorder="1" applyFont="1">
      <alignment shrinkToFit="0" wrapText="0"/>
    </xf>
    <xf borderId="67" fillId="0" fontId="0" numFmtId="0" xfId="0" applyAlignment="1" applyBorder="1" applyFont="1">
      <alignment shrinkToFit="0" wrapText="0"/>
    </xf>
    <xf borderId="19" fillId="0" fontId="0" numFmtId="0" xfId="0" applyAlignment="1" applyBorder="1" applyFont="1">
      <alignment shrinkToFit="0" wrapText="0"/>
    </xf>
    <xf borderId="16" fillId="0" fontId="19" numFmtId="0" xfId="0" applyAlignment="1" applyBorder="1" applyFont="1">
      <alignment shrinkToFit="0" wrapText="0"/>
    </xf>
    <xf borderId="68" fillId="0" fontId="0" numFmtId="0" xfId="0" applyAlignment="1" applyBorder="1" applyFont="1">
      <alignment shrinkToFit="0" wrapText="0"/>
    </xf>
    <xf borderId="28" fillId="9" fontId="43" numFmtId="0" xfId="0" applyAlignment="1" applyBorder="1" applyFont="1">
      <alignment shrinkToFit="0" wrapText="0"/>
    </xf>
    <xf borderId="10" fillId="0" fontId="43" numFmtId="0" xfId="0" applyAlignment="1" applyBorder="1" applyFont="1">
      <alignment horizontal="left" readingOrder="0" shrinkToFit="0" wrapText="0"/>
    </xf>
    <xf borderId="10" fillId="0" fontId="43" numFmtId="0" xfId="0" applyAlignment="1" applyBorder="1" applyFont="1">
      <alignment readingOrder="0" shrinkToFit="0" wrapText="0"/>
    </xf>
    <xf borderId="9" fillId="0" fontId="43" numFmtId="0" xfId="0" applyAlignment="1" applyBorder="1" applyFont="1">
      <alignment horizontal="right" readingOrder="0" shrinkToFit="0" wrapText="0"/>
    </xf>
    <xf borderId="0" fillId="0" fontId="43" numFmtId="0" xfId="0" applyAlignment="1" applyFont="1">
      <alignment horizontal="right" readingOrder="0" shrinkToFit="0" wrapText="0"/>
    </xf>
    <xf borderId="28" fillId="9" fontId="2" numFmtId="0" xfId="0" applyBorder="1" applyFont="1"/>
    <xf borderId="11" fillId="0" fontId="43" numFmtId="0" xfId="0" applyAlignment="1" applyBorder="1" applyFont="1">
      <alignment horizontal="left" readingOrder="0" shrinkToFit="0" wrapText="0"/>
    </xf>
    <xf borderId="14" fillId="0" fontId="19" numFmtId="0" xfId="0" applyAlignment="1" applyBorder="1" applyFont="1">
      <alignment shrinkToFit="0" wrapText="0"/>
    </xf>
    <xf borderId="50" fillId="0" fontId="0" numFmtId="0" xfId="0" applyAlignment="1" applyBorder="1" applyFont="1">
      <alignment shrinkToFit="0" wrapText="0"/>
    </xf>
    <xf borderId="13" fillId="5" fontId="37" numFmtId="0" xfId="0" applyAlignment="1" applyBorder="1" applyFont="1">
      <alignment horizontal="center" readingOrder="0" shrinkToFit="0" wrapText="0"/>
    </xf>
    <xf borderId="36" fillId="0" fontId="43" numFmtId="0" xfId="0" applyAlignment="1" applyBorder="1" applyFont="1">
      <alignment shrinkToFit="0" wrapText="0"/>
    </xf>
    <xf borderId="34" fillId="0" fontId="43" numFmtId="0" xfId="0" applyAlignment="1" applyBorder="1" applyFont="1">
      <alignment shrinkToFit="0" wrapText="0"/>
    </xf>
    <xf borderId="38" fillId="0" fontId="43" numFmtId="0" xfId="0" applyAlignment="1" applyBorder="1" applyFont="1">
      <alignment readingOrder="0" shrinkToFit="0" wrapText="0"/>
    </xf>
    <xf borderId="38" fillId="9" fontId="43" numFmtId="0" xfId="0" applyAlignment="1" applyBorder="1" applyFont="1">
      <alignment shrinkToFit="0" wrapText="0"/>
    </xf>
    <xf borderId="42" fillId="4" fontId="48" numFmtId="0" xfId="0" applyAlignment="1" applyBorder="1" applyFont="1">
      <alignment horizontal="right" readingOrder="0"/>
    </xf>
    <xf borderId="0" fillId="0" fontId="47" numFmtId="0" xfId="0" applyAlignment="1" applyFont="1">
      <alignment readingOrder="0"/>
    </xf>
    <xf borderId="71" fillId="0" fontId="19" numFmtId="0" xfId="0" applyAlignment="1" applyBorder="1" applyFont="1">
      <alignment shrinkToFit="0" wrapText="0"/>
    </xf>
    <xf borderId="70" fillId="0" fontId="19" numFmtId="0" xfId="0" applyAlignment="1" applyBorder="1" applyFont="1">
      <alignment shrinkToFit="0" wrapText="0"/>
    </xf>
    <xf borderId="7" fillId="0" fontId="43" numFmtId="0" xfId="0" applyAlignment="1" applyBorder="1" applyFont="1">
      <alignment shrinkToFit="0" wrapText="0"/>
    </xf>
    <xf borderId="51" fillId="0" fontId="21" numFmtId="0" xfId="0" applyAlignment="1" applyBorder="1" applyFont="1">
      <alignment shrinkToFit="0" wrapText="0"/>
    </xf>
    <xf borderId="48" fillId="0" fontId="0" numFmtId="0" xfId="0" applyAlignment="1" applyBorder="1" applyFont="1">
      <alignment shrinkToFit="0" wrapText="0"/>
    </xf>
    <xf borderId="23" fillId="0" fontId="0" numFmtId="0" xfId="0" applyAlignment="1" applyBorder="1" applyFont="1">
      <alignment shrinkToFit="0" wrapText="0"/>
    </xf>
    <xf borderId="13" fillId="0" fontId="43" numFmtId="0" xfId="0" applyAlignment="1" applyBorder="1" applyFont="1">
      <alignment horizontal="right" readingOrder="0" shrinkToFit="0" wrapText="0"/>
    </xf>
    <xf borderId="10" fillId="0" fontId="48" numFmtId="0" xfId="0" applyAlignment="1" applyBorder="1" applyFont="1">
      <alignment horizontal="center" readingOrder="0" shrinkToFit="0" wrapText="0"/>
    </xf>
    <xf borderId="30" fillId="0" fontId="43" numFmtId="0" xfId="0" applyAlignment="1" applyBorder="1" applyFont="1">
      <alignment horizontal="right" readingOrder="0" shrinkToFit="0" wrapText="0"/>
    </xf>
    <xf borderId="21" fillId="0" fontId="43" numFmtId="0" xfId="0" applyAlignment="1" applyBorder="1" applyFont="1">
      <alignment horizontal="left" readingOrder="0" shrinkToFit="0" wrapText="0"/>
    </xf>
    <xf borderId="13" fillId="0" fontId="48" numFmtId="0" xfId="0" applyAlignment="1" applyBorder="1" applyFont="1">
      <alignment horizontal="center" readingOrder="0" shrinkToFit="0" wrapText="0"/>
    </xf>
    <xf borderId="0" fillId="5" fontId="55" numFmtId="0" xfId="0" applyAlignment="1" applyFont="1">
      <alignment readingOrder="0" shrinkToFit="0" wrapText="1"/>
    </xf>
    <xf borderId="23" fillId="5" fontId="47" numFmtId="0" xfId="0" applyAlignment="1" applyBorder="1" applyFont="1">
      <alignment readingOrder="0"/>
    </xf>
    <xf borderId="21" fillId="0" fontId="43" numFmtId="0" xfId="0" applyAlignment="1" applyBorder="1" applyFont="1">
      <alignment shrinkToFit="0" wrapText="0"/>
    </xf>
    <xf borderId="19" fillId="0" fontId="43" numFmtId="0" xfId="0" applyAlignment="1" applyBorder="1" applyFont="1">
      <alignment horizontal="center" readingOrder="0" shrinkToFit="0" wrapText="0"/>
    </xf>
    <xf borderId="30" fillId="5" fontId="56" numFmtId="0" xfId="0" applyAlignment="1" applyBorder="1" applyFont="1">
      <alignment readingOrder="0"/>
    </xf>
    <xf borderId="30" fillId="5" fontId="57" numFmtId="0" xfId="0" applyAlignment="1" applyBorder="1" applyFont="1">
      <alignment horizontal="center" readingOrder="0" shrinkToFit="0" wrapText="1"/>
    </xf>
    <xf borderId="30" fillId="5" fontId="58" numFmtId="0" xfId="0" applyAlignment="1" applyBorder="1" applyFont="1">
      <alignment horizontal="center" readingOrder="0" shrinkToFit="0" wrapText="1"/>
    </xf>
    <xf borderId="30" fillId="5" fontId="31" numFmtId="0" xfId="0" applyAlignment="1" applyBorder="1" applyFont="1">
      <alignment horizontal="center" readingOrder="0" shrinkToFit="0" vertical="center" wrapText="0"/>
    </xf>
    <xf borderId="0" fillId="5" fontId="56" numFmtId="0" xfId="0" applyAlignment="1" applyFont="1">
      <alignment readingOrder="0" shrinkToFit="0" wrapText="1"/>
    </xf>
    <xf borderId="20" fillId="0" fontId="48" numFmtId="0" xfId="0" applyAlignment="1" applyBorder="1" applyFont="1">
      <alignment readingOrder="0" shrinkToFit="0" wrapText="0"/>
    </xf>
    <xf borderId="19" fillId="0" fontId="48" numFmtId="0" xfId="0" applyAlignment="1" applyBorder="1" applyFont="1">
      <alignment readingOrder="0" shrinkToFit="0" wrapText="0"/>
    </xf>
    <xf borderId="19" fillId="0" fontId="43" numFmtId="0" xfId="0" applyAlignment="1" applyBorder="1" applyFont="1">
      <alignment readingOrder="0" shrinkToFit="0" wrapText="0"/>
    </xf>
    <xf borderId="30" fillId="0" fontId="43" numFmtId="0" xfId="0" applyAlignment="1" applyBorder="1" applyFont="1">
      <alignment horizontal="center" readingOrder="0" shrinkToFit="0" wrapText="0"/>
    </xf>
    <xf borderId="30" fillId="5" fontId="18" numFmtId="0" xfId="0" applyAlignment="1" applyBorder="1" applyFont="1">
      <alignment horizontal="center" readingOrder="0" shrinkToFit="0" wrapText="1"/>
    </xf>
    <xf borderId="18" fillId="0" fontId="43" numFmtId="0" xfId="0" applyAlignment="1" applyBorder="1" applyFont="1">
      <alignment shrinkToFit="0" wrapText="0"/>
    </xf>
    <xf borderId="19" fillId="9" fontId="43" numFmtId="0" xfId="0" applyAlignment="1" applyBorder="1" applyFont="1">
      <alignment shrinkToFit="0" wrapText="0"/>
    </xf>
    <xf borderId="0" fillId="9" fontId="43" numFmtId="0" xfId="0" applyAlignment="1" applyFont="1">
      <alignment shrinkToFit="0" wrapText="0"/>
    </xf>
    <xf borderId="31" fillId="0" fontId="43" numFmtId="0" xfId="0" applyAlignment="1" applyBorder="1" applyFont="1">
      <alignment shrinkToFit="0" wrapText="0"/>
    </xf>
    <xf borderId="27" fillId="0" fontId="43" numFmtId="0" xfId="0" applyAlignment="1" applyBorder="1" applyFont="1">
      <alignment shrinkToFit="0" wrapText="0"/>
    </xf>
    <xf borderId="61" fillId="0" fontId="2" numFmtId="0" xfId="0" applyBorder="1" applyFont="1"/>
    <xf borderId="63" fillId="0" fontId="2" numFmtId="0" xfId="0" applyBorder="1" applyFont="1"/>
    <xf borderId="84" fillId="0" fontId="18" numFmtId="0" xfId="0" applyAlignment="1" applyBorder="1" applyFont="1">
      <alignment shrinkToFit="0" textRotation="255" vertical="center" wrapText="0"/>
    </xf>
    <xf borderId="5" fillId="0" fontId="37" numFmtId="0" xfId="0" applyAlignment="1" applyBorder="1" applyFont="1">
      <alignment horizontal="center" readingOrder="0" shrinkToFit="0" wrapText="0"/>
    </xf>
    <xf borderId="8" fillId="0" fontId="37" numFmtId="0" xfId="0" applyAlignment="1" applyBorder="1" applyFont="1">
      <alignment horizontal="center" readingOrder="0" shrinkToFit="0" wrapText="0"/>
    </xf>
    <xf borderId="4" fillId="0" fontId="37" numFmtId="0" xfId="0" applyAlignment="1" applyBorder="1" applyFont="1">
      <alignment horizontal="center" readingOrder="0" shrinkToFit="0" wrapText="0"/>
    </xf>
    <xf borderId="9" fillId="5" fontId="18" numFmtId="2" xfId="0" applyAlignment="1" applyBorder="1" applyFont="1" applyNumberFormat="1">
      <alignment horizontal="center" readingOrder="0" shrinkToFit="0" wrapText="0"/>
    </xf>
    <xf borderId="32" fillId="0" fontId="43" numFmtId="0" xfId="0" applyAlignment="1" applyBorder="1" applyFont="1">
      <alignment horizontal="center" shrinkToFit="0" vertical="center" wrapText="0"/>
    </xf>
    <xf borderId="23" fillId="0" fontId="48" numFmtId="0" xfId="0" applyAlignment="1" applyBorder="1" applyFont="1">
      <alignment horizontal="center" readingOrder="0" shrinkToFit="0" wrapText="1"/>
    </xf>
    <xf borderId="9" fillId="0" fontId="43" numFmtId="0" xfId="0" applyAlignment="1" applyBorder="1" applyFont="1">
      <alignment horizontal="center" readingOrder="0" shrinkToFit="0" vertical="center" wrapText="0"/>
    </xf>
    <xf borderId="25" fillId="0" fontId="48" numFmtId="0" xfId="0" applyAlignment="1" applyBorder="1" applyFont="1">
      <alignment horizontal="center" readingOrder="0" shrinkToFit="0" wrapText="0"/>
    </xf>
    <xf borderId="0" fillId="0" fontId="48" numFmtId="0" xfId="0" applyAlignment="1" applyFont="1">
      <alignment horizontal="center" readingOrder="0" shrinkToFit="0" wrapText="1"/>
    </xf>
    <xf borderId="9" fillId="0" fontId="48" numFmtId="0" xfId="0" applyAlignment="1" applyBorder="1" applyFont="1">
      <alignment horizontal="center" readingOrder="0" shrinkToFit="0" wrapText="0"/>
    </xf>
    <xf borderId="36" fillId="9" fontId="43" numFmtId="0" xfId="0" applyAlignment="1" applyBorder="1" applyFont="1">
      <alignment shrinkToFit="0" wrapText="0"/>
    </xf>
    <xf borderId="71" fillId="0" fontId="21" numFmtId="0" xfId="0" applyAlignment="1" applyBorder="1" applyFont="1">
      <alignment horizontal="center" shrinkToFit="0" wrapText="0"/>
    </xf>
    <xf borderId="37" fillId="0" fontId="21" numFmtId="0" xfId="0" applyAlignment="1" applyBorder="1" applyFont="1">
      <alignment horizontal="center" shrinkToFit="0" wrapText="0"/>
    </xf>
    <xf borderId="36" fillId="0" fontId="21" numFmtId="0" xfId="0" applyAlignment="1" applyBorder="1" applyFont="1">
      <alignment horizontal="center" shrinkToFit="0" wrapText="0"/>
    </xf>
    <xf borderId="0" fillId="0" fontId="20" numFmtId="0" xfId="0" applyAlignment="1" applyFont="1">
      <alignment horizontal="left" shrinkToFit="0" vertical="top" wrapText="0"/>
    </xf>
    <xf borderId="0" fillId="0" fontId="20" numFmtId="0" xfId="0" applyAlignment="1" applyFont="1">
      <alignment horizontal="center" shrinkToFit="0" vertical="top" wrapText="0"/>
    </xf>
    <xf borderId="0" fillId="0" fontId="20" numFmtId="0" xfId="0" applyAlignment="1" applyFont="1">
      <alignment horizontal="center" readingOrder="0" shrinkToFit="0" vertical="top" wrapText="0"/>
    </xf>
    <xf borderId="0" fillId="9" fontId="20" numFmtId="0" xfId="0" applyAlignment="1" applyFont="1">
      <alignment horizontal="center" shrinkToFit="0" vertical="top" wrapText="0"/>
    </xf>
    <xf borderId="0" fillId="0" fontId="59" numFmtId="0" xfId="0" applyAlignment="1" applyFont="1">
      <alignment horizontal="center" readingOrder="0" shrinkToFit="0" vertical="top" wrapText="0"/>
    </xf>
    <xf borderId="0" fillId="0" fontId="28" numFmtId="0" xfId="0" applyAlignment="1" applyFont="1">
      <alignment horizontal="left" shrinkToFit="0" wrapText="0"/>
    </xf>
    <xf borderId="0" fillId="9" fontId="0" numFmtId="0" xfId="0" applyAlignment="1" applyFont="1">
      <alignment shrinkToFit="0" wrapText="0"/>
    </xf>
    <xf borderId="86" fillId="4" fontId="28" numFmtId="14" xfId="0" applyAlignment="1" applyBorder="1" applyFont="1" applyNumberFormat="1">
      <alignment horizontal="left" shrinkToFit="0" wrapText="0"/>
    </xf>
    <xf borderId="87" fillId="0" fontId="2" numFmtId="0" xfId="0" applyBorder="1" applyFont="1"/>
    <xf borderId="0" fillId="4" fontId="28" numFmtId="14" xfId="0" applyAlignment="1" applyFont="1" applyNumberFormat="1">
      <alignment horizontal="left" shrinkToFit="0" wrapText="0"/>
    </xf>
    <xf borderId="0" fillId="9" fontId="0" numFmtId="0" xfId="0" applyAlignment="1" applyFont="1">
      <alignment shrinkToFit="0" wrapText="0"/>
    </xf>
    <xf borderId="53" fillId="0" fontId="16" numFmtId="0" xfId="0" applyAlignment="1" applyBorder="1" applyFont="1">
      <alignment horizontal="center" shrinkToFit="0" wrapText="1"/>
    </xf>
    <xf borderId="85" fillId="0" fontId="2" numFmtId="0" xfId="0" applyBorder="1" applyFont="1"/>
    <xf borderId="43" fillId="0" fontId="2" numFmtId="0" xfId="0" applyBorder="1" applyFont="1"/>
    <xf borderId="43" fillId="0" fontId="16" numFmtId="0" xfId="0" applyAlignment="1" applyBorder="1" applyFont="1">
      <alignment horizontal="center" readingOrder="0" shrinkToFit="0" wrapText="1"/>
    </xf>
    <xf borderId="53" fillId="0" fontId="60" numFmtId="0" xfId="0" applyAlignment="1" applyBorder="1" applyFont="1">
      <alignment horizontal="center" readingOrder="0" vertical="center"/>
    </xf>
    <xf borderId="60" fillId="0" fontId="16" numFmtId="0" xfId="0" applyAlignment="1" applyBorder="1" applyFont="1">
      <alignment horizontal="center" shrinkToFit="0" wrapText="1"/>
    </xf>
    <xf borderId="46" fillId="0" fontId="16" numFmtId="0" xfId="0" applyAlignment="1" applyBorder="1" applyFont="1">
      <alignment horizontal="center" readingOrder="0" shrinkToFit="0" wrapText="1"/>
    </xf>
    <xf borderId="4" fillId="0" fontId="43" numFmtId="0" xfId="0" applyAlignment="1" applyBorder="1" applyFont="1">
      <alignment shrinkToFit="0" wrapText="0"/>
    </xf>
    <xf borderId="8" fillId="0" fontId="43" numFmtId="0" xfId="0" applyAlignment="1" applyBorder="1" applyFont="1">
      <alignment shrinkToFit="0" wrapText="0"/>
    </xf>
    <xf borderId="32" fillId="5" fontId="37" numFmtId="0" xfId="0" applyAlignment="1" applyBorder="1" applyFont="1">
      <alignment horizontal="center" readingOrder="0" shrinkToFit="0" wrapText="1"/>
    </xf>
    <xf borderId="32" fillId="0" fontId="43" numFmtId="0" xfId="0" applyAlignment="1" applyBorder="1" applyFont="1">
      <alignment shrinkToFit="0" wrapText="0"/>
    </xf>
    <xf borderId="25" fillId="0" fontId="43" numFmtId="0" xfId="0" applyAlignment="1" applyBorder="1" applyFont="1">
      <alignment shrinkToFit="0" wrapText="0"/>
    </xf>
    <xf borderId="10" fillId="0" fontId="19" numFmtId="0" xfId="0" applyAlignment="1" applyBorder="1" applyFont="1">
      <alignment shrinkToFit="0" wrapText="0"/>
    </xf>
    <xf borderId="50" fillId="0" fontId="19" numFmtId="0" xfId="0" applyAlignment="1" applyBorder="1" applyFont="1">
      <alignment shrinkToFit="0" wrapText="0"/>
    </xf>
    <xf borderId="9" fillId="0" fontId="2" numFmtId="0" xfId="0" applyBorder="1" applyFont="1"/>
    <xf borderId="11" fillId="4" fontId="43" numFmtId="0" xfId="0" applyAlignment="1" applyBorder="1" applyFont="1">
      <alignment horizontal="left" shrinkToFit="0" wrapText="0"/>
    </xf>
    <xf borderId="50" fillId="4" fontId="43" numFmtId="0" xfId="0" applyAlignment="1" applyBorder="1" applyFont="1">
      <alignment horizontal="left" shrinkToFit="0" wrapText="0"/>
    </xf>
    <xf borderId="27" fillId="0" fontId="47" numFmtId="0" xfId="0" applyAlignment="1" applyBorder="1" applyFont="1">
      <alignment horizontal="center" readingOrder="0"/>
    </xf>
    <xf borderId="9" fillId="0" fontId="43" numFmtId="0" xfId="0" applyAlignment="1" applyBorder="1" applyFont="1">
      <alignment horizontal="left" readingOrder="0" shrinkToFit="0" wrapText="0"/>
    </xf>
    <xf borderId="88" fillId="5" fontId="37" numFmtId="0" xfId="0" applyAlignment="1" applyBorder="1" applyFont="1">
      <alignment horizontal="left" readingOrder="0" shrinkToFit="0" wrapText="0"/>
    </xf>
    <xf borderId="19" fillId="5" fontId="34" numFmtId="0" xfId="0" applyAlignment="1" applyBorder="1" applyFont="1">
      <alignment horizontal="center" readingOrder="0" shrinkToFit="0" wrapText="1"/>
    </xf>
    <xf borderId="30" fillId="0" fontId="48" numFmtId="0" xfId="0" applyAlignment="1" applyBorder="1" applyFont="1">
      <alignment horizontal="center" readingOrder="0" shrinkToFit="0" wrapText="0"/>
    </xf>
    <xf borderId="18" fillId="0" fontId="48" numFmtId="0" xfId="0" applyAlignment="1" applyBorder="1" applyFont="1">
      <alignment horizontal="center" readingOrder="0" shrinkToFit="0" wrapText="0"/>
    </xf>
    <xf borderId="75" fillId="0" fontId="48" numFmtId="0" xfId="0" applyAlignment="1" applyBorder="1" applyFont="1">
      <alignment horizontal="center" readingOrder="0" shrinkToFit="0" wrapText="0"/>
    </xf>
    <xf borderId="29" fillId="0" fontId="43" numFmtId="0" xfId="0" applyAlignment="1" applyBorder="1" applyFont="1">
      <alignment shrinkToFit="0" wrapText="0"/>
    </xf>
    <xf borderId="19" fillId="0" fontId="43" numFmtId="0" xfId="0" applyAlignment="1" applyBorder="1" applyFont="1">
      <alignment horizontal="left" readingOrder="0" shrinkToFit="0" vertical="top" wrapText="0"/>
    </xf>
    <xf borderId="68" fillId="0" fontId="43" numFmtId="0" xfId="0" applyAlignment="1" applyBorder="1" applyFont="1">
      <alignment horizontal="center" readingOrder="0" shrinkToFit="0" wrapText="0"/>
    </xf>
    <xf borderId="16" fillId="0" fontId="48" numFmtId="0" xfId="0" applyAlignment="1" applyBorder="1" applyFont="1">
      <alignment horizontal="center" readingOrder="0" shrinkToFit="0" wrapText="0"/>
    </xf>
    <xf borderId="25" fillId="0" fontId="48" numFmtId="0" xfId="0" applyAlignment="1" applyBorder="1" applyFont="1">
      <alignment shrinkToFit="0" wrapText="0"/>
    </xf>
    <xf borderId="75" fillId="0" fontId="0" numFmtId="0" xfId="0" applyAlignment="1" applyBorder="1" applyFont="1">
      <alignment shrinkToFit="0" wrapText="0"/>
    </xf>
    <xf borderId="17" fillId="0" fontId="48" numFmtId="0" xfId="0" applyAlignment="1" applyBorder="1" applyFont="1">
      <alignment shrinkToFit="0" wrapText="0"/>
    </xf>
    <xf borderId="24" fillId="0" fontId="48" numFmtId="0" xfId="0" applyAlignment="1" applyBorder="1" applyFont="1">
      <alignment shrinkToFit="0" wrapText="0"/>
    </xf>
    <xf borderId="25" fillId="0" fontId="21" numFmtId="0" xfId="0" applyAlignment="1" applyBorder="1" applyFont="1">
      <alignment readingOrder="0" shrinkToFit="0" wrapText="1"/>
    </xf>
    <xf borderId="23" fillId="0" fontId="43" numFmtId="0" xfId="0" applyAlignment="1" applyBorder="1" applyFont="1">
      <alignment horizontal="left" readingOrder="0" shrinkToFit="0" wrapText="0"/>
    </xf>
    <xf borderId="9" fillId="0" fontId="43" numFmtId="0" xfId="0" applyAlignment="1" applyBorder="1" applyFont="1">
      <alignment horizontal="right" shrinkToFit="0" wrapText="0"/>
    </xf>
    <xf borderId="23" fillId="0" fontId="43" numFmtId="0" xfId="0" applyAlignment="1" applyBorder="1" applyFont="1">
      <alignment horizontal="right" shrinkToFit="0" wrapText="0"/>
    </xf>
    <xf borderId="32" fillId="0" fontId="48" numFmtId="0" xfId="0" applyAlignment="1" applyBorder="1" applyFont="1">
      <alignment horizontal="center" readingOrder="0" shrinkToFit="0" wrapText="0"/>
    </xf>
    <xf borderId="69" fillId="0" fontId="48" numFmtId="0" xfId="0" applyAlignment="1" applyBorder="1" applyFont="1">
      <alignment shrinkToFit="0" wrapText="0"/>
    </xf>
    <xf borderId="10" fillId="0" fontId="43" numFmtId="0" xfId="0" applyAlignment="1" applyBorder="1" applyFont="1">
      <alignment horizontal="right" readingOrder="0" shrinkToFit="0" wrapText="0"/>
    </xf>
    <xf borderId="32" fillId="5" fontId="18" numFmtId="0" xfId="0" applyAlignment="1" applyBorder="1" applyFont="1">
      <alignment horizontal="center" readingOrder="0" shrinkToFit="0" wrapText="1"/>
    </xf>
    <xf borderId="23" fillId="4" fontId="43" numFmtId="0" xfId="0" applyAlignment="1" applyBorder="1" applyFont="1">
      <alignment horizontal="left" readingOrder="0"/>
    </xf>
    <xf borderId="25" fillId="4" fontId="43" numFmtId="0" xfId="0" applyAlignment="1" applyBorder="1" applyFont="1">
      <alignment horizontal="left" readingOrder="0"/>
    </xf>
    <xf borderId="65" fillId="5" fontId="37" numFmtId="0" xfId="0" applyAlignment="1" applyBorder="1" applyFont="1">
      <alignment horizontal="center" readingOrder="0" shrinkToFit="0" wrapText="0"/>
    </xf>
    <xf borderId="89" fillId="0" fontId="2" numFmtId="0" xfId="0" applyBorder="1" applyFont="1"/>
    <xf borderId="32" fillId="5" fontId="31" numFmtId="0" xfId="0" applyAlignment="1" applyBorder="1" applyFont="1">
      <alignment horizontal="center" readingOrder="0" shrinkToFit="0" wrapText="0"/>
    </xf>
    <xf borderId="65" fillId="5" fontId="37" numFmtId="0" xfId="0" applyAlignment="1" applyBorder="1" applyFont="1">
      <alignment horizontal="left" readingOrder="0" shrinkToFit="0" wrapText="0"/>
    </xf>
    <xf borderId="10" fillId="5" fontId="34" numFmtId="0" xfId="0" applyAlignment="1" applyBorder="1" applyFont="1">
      <alignment horizontal="center" readingOrder="0" shrinkToFit="0" wrapText="1"/>
    </xf>
    <xf borderId="0" fillId="4" fontId="48" numFmtId="0" xfId="0" applyAlignment="1" applyFont="1">
      <alignment horizontal="left" readingOrder="0"/>
    </xf>
    <xf borderId="27" fillId="4" fontId="48" numFmtId="0" xfId="0" applyAlignment="1" applyBorder="1" applyFont="1">
      <alignment horizontal="left" readingOrder="0"/>
    </xf>
    <xf borderId="28" fillId="4" fontId="48" numFmtId="0" xfId="0" applyAlignment="1" applyBorder="1" applyFont="1">
      <alignment horizontal="right" readingOrder="0"/>
    </xf>
    <xf borderId="0" fillId="4" fontId="43" numFmtId="0" xfId="0" applyAlignment="1" applyFont="1">
      <alignment horizontal="left" readingOrder="0" shrinkToFit="0" wrapText="0"/>
    </xf>
    <xf borderId="31" fillId="5" fontId="31" numFmtId="0" xfId="0" applyAlignment="1" applyBorder="1" applyFont="1">
      <alignment horizontal="center" readingOrder="0" shrinkToFit="0" wrapText="0"/>
    </xf>
    <xf borderId="28" fillId="0" fontId="43" numFmtId="0" xfId="0" applyAlignment="1" applyBorder="1" applyFont="1">
      <alignment shrinkToFit="0" wrapText="0"/>
    </xf>
    <xf borderId="69" fillId="0" fontId="43" numFmtId="0" xfId="0" applyAlignment="1" applyBorder="1" applyFont="1">
      <alignment shrinkToFit="0" wrapText="0"/>
    </xf>
    <xf borderId="32" fillId="0" fontId="43" numFmtId="0" xfId="0" applyAlignment="1" applyBorder="1" applyFont="1">
      <alignment horizontal="right" readingOrder="0" shrinkToFit="0" wrapText="0"/>
    </xf>
    <xf borderId="23" fillId="0" fontId="43" numFmtId="0" xfId="0" applyAlignment="1" applyBorder="1" applyFont="1">
      <alignment readingOrder="0" shrinkToFit="0" wrapText="0"/>
    </xf>
    <xf borderId="17" fillId="5" fontId="37" numFmtId="0" xfId="0" applyAlignment="1" applyBorder="1" applyFont="1">
      <alignment horizontal="center" readingOrder="0" shrinkToFit="0" wrapText="1"/>
    </xf>
    <xf borderId="25" fillId="5" fontId="37" numFmtId="0" xfId="0" applyAlignment="1" applyBorder="1" applyFont="1">
      <alignment horizontal="center" readingOrder="0" shrinkToFit="0" wrapText="1"/>
    </xf>
    <xf borderId="10" fillId="5" fontId="37" numFmtId="2" xfId="0" applyAlignment="1" applyBorder="1" applyFont="1" applyNumberFormat="1">
      <alignment horizontal="center" readingOrder="0" shrinkToFit="0" wrapText="0"/>
    </xf>
    <xf borderId="23" fillId="5" fontId="37" numFmtId="0" xfId="0" applyAlignment="1" applyBorder="1" applyFont="1">
      <alignment horizontal="left" shrinkToFit="0" wrapText="0"/>
    </xf>
    <xf borderId="90" fillId="5" fontId="34" numFmtId="0" xfId="0" applyAlignment="1" applyBorder="1" applyFont="1">
      <alignment horizontal="center" readingOrder="0" shrinkToFit="0" wrapText="1"/>
    </xf>
    <xf borderId="91" fillId="0" fontId="2" numFmtId="0" xfId="0" applyBorder="1" applyFont="1"/>
    <xf borderId="31" fillId="0" fontId="47" numFmtId="0" xfId="0" applyAlignment="1" applyBorder="1" applyFont="1">
      <alignment horizontal="center" readingOrder="0"/>
    </xf>
    <xf borderId="50" fillId="0" fontId="47" numFmtId="0" xfId="0" applyAlignment="1" applyBorder="1" applyFont="1">
      <alignment horizontal="center" readingOrder="0"/>
    </xf>
    <xf borderId="61" fillId="0" fontId="43" numFmtId="0" xfId="0" applyAlignment="1" applyBorder="1" applyFont="1">
      <alignment shrinkToFit="0" wrapText="0"/>
    </xf>
    <xf borderId="92" fillId="0" fontId="48" numFmtId="0" xfId="0" applyAlignment="1" applyBorder="1" applyFont="1">
      <alignment horizontal="left" readingOrder="0"/>
    </xf>
    <xf borderId="31" fillId="0" fontId="43" numFmtId="0" xfId="0" applyAlignment="1" applyBorder="1" applyFont="1">
      <alignment horizontal="right" readingOrder="0" shrinkToFit="0" wrapText="0"/>
    </xf>
    <xf borderId="10" fillId="0" fontId="43" numFmtId="0" xfId="0" applyAlignment="1" applyBorder="1" applyFont="1">
      <alignment horizontal="center" readingOrder="0" shrinkToFit="0" wrapText="0"/>
    </xf>
    <xf borderId="33" fillId="0" fontId="48" numFmtId="0" xfId="0" applyAlignment="1" applyBorder="1" applyFont="1">
      <alignment horizontal="center" readingOrder="0" shrinkToFit="0" wrapText="0"/>
    </xf>
    <xf borderId="63" fillId="0" fontId="48" numFmtId="0" xfId="0" applyAlignment="1" applyBorder="1" applyFont="1">
      <alignment horizontal="center" readingOrder="0" shrinkToFit="0" wrapText="0"/>
    </xf>
    <xf borderId="17" fillId="0" fontId="52" numFmtId="0" xfId="0" applyAlignment="1" applyBorder="1" applyFont="1">
      <alignment shrinkToFit="0" wrapText="0"/>
    </xf>
    <xf borderId="24" fillId="0" fontId="52" numFmtId="0" xfId="0" applyAlignment="1" applyBorder="1" applyFont="1">
      <alignment shrinkToFit="0" wrapText="0"/>
    </xf>
    <xf borderId="23" fillId="0" fontId="52" numFmtId="0" xfId="0" applyAlignment="1" applyBorder="1" applyFont="1">
      <alignment shrinkToFit="0" wrapText="0"/>
    </xf>
    <xf borderId="5" fillId="0" fontId="19" numFmtId="0" xfId="0" applyAlignment="1" applyBorder="1" applyFont="1">
      <alignment shrinkToFit="0" wrapText="0"/>
    </xf>
    <xf borderId="55" fillId="0" fontId="19" numFmtId="0" xfId="0" applyAlignment="1" applyBorder="1" applyFont="1">
      <alignment shrinkToFit="0" wrapText="0"/>
    </xf>
    <xf borderId="50" fillId="0" fontId="43" numFmtId="0" xfId="0" applyAlignment="1" applyBorder="1" applyFont="1">
      <alignment horizontal="center" readingOrder="0" shrinkToFit="0" wrapText="0"/>
    </xf>
    <xf borderId="31" fillId="5" fontId="37" numFmtId="0" xfId="0" applyAlignment="1" applyBorder="1" applyFont="1">
      <alignment horizontal="center" readingOrder="0" shrinkToFit="0" wrapText="1"/>
    </xf>
    <xf borderId="30" fillId="4" fontId="48" numFmtId="0" xfId="0" applyAlignment="1" applyBorder="1" applyFont="1">
      <alignment horizontal="right" readingOrder="0" shrinkToFit="0" vertical="center" wrapText="0"/>
    </xf>
    <xf borderId="20" fillId="0" fontId="43" numFmtId="0" xfId="0" applyAlignment="1" applyBorder="1" applyFont="1">
      <alignment horizontal="center" readingOrder="0" shrinkToFit="0" wrapText="0"/>
    </xf>
    <xf borderId="68" fillId="0" fontId="43" numFmtId="0" xfId="0" applyAlignment="1" applyBorder="1" applyFont="1">
      <alignment readingOrder="0" shrinkToFit="0" wrapText="0"/>
    </xf>
    <xf borderId="28" fillId="5" fontId="61" numFmtId="0" xfId="0" applyAlignment="1" applyBorder="1" applyFont="1">
      <alignment readingOrder="0" shrinkToFit="0" wrapText="1"/>
    </xf>
    <xf borderId="24" fillId="5" fontId="61" numFmtId="0" xfId="0" applyAlignment="1" applyBorder="1" applyFont="1">
      <alignment readingOrder="0" shrinkToFit="0" wrapText="1"/>
    </xf>
    <xf borderId="68" fillId="0" fontId="47" numFmtId="0" xfId="0" applyAlignment="1" applyBorder="1" applyFont="1">
      <alignment horizontal="center" readingOrder="0"/>
    </xf>
    <xf borderId="0" fillId="4" fontId="43" numFmtId="0" xfId="0" applyAlignment="1" applyFont="1">
      <alignment horizontal="left" readingOrder="0"/>
    </xf>
    <xf borderId="28" fillId="4" fontId="43" numFmtId="0" xfId="0" applyAlignment="1" applyBorder="1" applyFont="1">
      <alignment horizontal="left" readingOrder="0"/>
    </xf>
    <xf borderId="93" fillId="5" fontId="31" numFmtId="0" xfId="0" applyAlignment="1" applyBorder="1" applyFont="1">
      <alignment horizontal="center" readingOrder="0" shrinkToFit="0" wrapText="0"/>
    </xf>
    <xf borderId="94" fillId="0" fontId="2" numFmtId="0" xfId="0" applyBorder="1" applyFont="1"/>
    <xf borderId="95" fillId="5" fontId="34" numFmtId="0" xfId="0" applyAlignment="1" applyBorder="1" applyFont="1">
      <alignment horizontal="center" readingOrder="0" shrinkToFit="0" wrapText="1"/>
    </xf>
    <xf borderId="96" fillId="0" fontId="2" numFmtId="0" xfId="0" applyBorder="1" applyFont="1"/>
    <xf borderId="69" fillId="0" fontId="47" numFmtId="0" xfId="0" applyAlignment="1" applyBorder="1" applyFont="1">
      <alignment horizontal="center" readingOrder="0"/>
    </xf>
    <xf borderId="45" fillId="0" fontId="43" numFmtId="0" xfId="0" applyAlignment="1" applyBorder="1" applyFont="1">
      <alignment shrinkToFit="0" wrapText="0"/>
    </xf>
    <xf borderId="71" fillId="0" fontId="48" numFmtId="0" xfId="0" applyAlignment="1" applyBorder="1" applyFont="1">
      <alignment horizontal="center" readingOrder="0" shrinkToFit="0" wrapText="0"/>
    </xf>
    <xf borderId="24" fillId="5" fontId="22" numFmtId="0" xfId="0" applyAlignment="1" applyBorder="1" applyFont="1">
      <alignment readingOrder="0" shrinkToFit="0" wrapText="1"/>
    </xf>
    <xf borderId="25" fillId="5" fontId="22" numFmtId="0" xfId="0" applyAlignment="1" applyBorder="1" applyFont="1">
      <alignment horizontal="right" readingOrder="0" shrinkToFit="0" wrapText="1"/>
    </xf>
    <xf borderId="9" fillId="0" fontId="43" numFmtId="0" xfId="0" applyAlignment="1" applyBorder="1" applyFont="1">
      <alignment horizontal="center" shrinkToFit="0" vertical="center" wrapText="0"/>
    </xf>
    <xf borderId="25" fillId="0" fontId="43" numFmtId="0" xfId="0" applyAlignment="1" applyBorder="1" applyFont="1">
      <alignment horizontal="right" readingOrder="0" shrinkToFit="0" wrapText="1"/>
    </xf>
    <xf borderId="33" fillId="0" fontId="18" numFmtId="49" xfId="0" applyAlignment="1" applyBorder="1" applyFont="1" applyNumberFormat="1">
      <alignment horizontal="center" readingOrder="0" shrinkToFit="0" wrapText="0"/>
    </xf>
    <xf borderId="61" fillId="0" fontId="48" numFmtId="0" xfId="0" applyAlignment="1" applyBorder="1" applyFont="1">
      <alignment horizontal="center" readingOrder="0" shrinkToFit="0" wrapText="0"/>
    </xf>
    <xf borderId="0" fillId="0" fontId="37" numFmtId="0" xfId="0" applyAlignment="1" applyFont="1">
      <alignment horizontal="center" readingOrder="0" shrinkToFit="0" wrapText="1"/>
    </xf>
    <xf borderId="0" fillId="0" fontId="43" numFmtId="0" xfId="0" applyAlignment="1" applyFont="1">
      <alignment horizontal="left" readingOrder="0" shrinkToFit="0" wrapText="0"/>
    </xf>
    <xf borderId="0" fillId="0" fontId="43" numFmtId="0" xfId="0" applyAlignment="1" applyFont="1">
      <alignment horizontal="left" readingOrder="0"/>
    </xf>
    <xf borderId="0" fillId="0" fontId="37" numFmtId="0" xfId="0" applyAlignment="1" applyFont="1">
      <alignment horizontal="center" readingOrder="0" shrinkToFit="0" wrapText="0"/>
    </xf>
    <xf borderId="76" fillId="0" fontId="29" numFmtId="0" xfId="0" applyAlignment="1" applyBorder="1" applyFont="1">
      <alignment horizontal="center" readingOrder="0" shrinkToFit="0" wrapText="0"/>
    </xf>
    <xf borderId="49" fillId="0" fontId="29" numFmtId="0" xfId="0" applyAlignment="1" applyBorder="1" applyFont="1">
      <alignment horizontal="center" shrinkToFit="0" wrapText="0"/>
    </xf>
    <xf borderId="54" fillId="0" fontId="29" numFmtId="49" xfId="0" applyAlignment="1" applyBorder="1" applyFont="1" applyNumberFormat="1">
      <alignment horizontal="center" shrinkToFit="0" wrapText="0"/>
    </xf>
    <xf borderId="77" fillId="0" fontId="28" numFmtId="0" xfId="0" applyAlignment="1" applyBorder="1" applyFont="1">
      <alignment horizontal="center" readingOrder="0" shrinkToFit="0" wrapText="0"/>
    </xf>
    <xf borderId="77" fillId="0" fontId="29" numFmtId="49" xfId="0" applyAlignment="1" applyBorder="1" applyFont="1" applyNumberFormat="1">
      <alignment horizontal="center" shrinkToFit="0" wrapText="0"/>
    </xf>
    <xf borderId="77" fillId="0" fontId="28" numFmtId="0" xfId="0" applyAlignment="1" applyBorder="1" applyFont="1">
      <alignment horizontal="right" readingOrder="0" shrinkToFit="0" wrapText="0"/>
    </xf>
    <xf borderId="77" fillId="0" fontId="28" numFmtId="0" xfId="0" applyAlignment="1" applyBorder="1" applyFont="1">
      <alignment horizontal="center" shrinkToFit="0" wrapText="0"/>
    </xf>
    <xf borderId="79" fillId="0" fontId="29" numFmtId="49" xfId="0" applyAlignment="1" applyBorder="1" applyFont="1" applyNumberFormat="1">
      <alignment horizontal="center" shrinkToFit="0" wrapText="0"/>
    </xf>
    <xf borderId="56" fillId="0" fontId="29" numFmtId="49" xfId="0" applyAlignment="1" applyBorder="1" applyFont="1" applyNumberFormat="1">
      <alignment horizontal="center" shrinkToFit="0" wrapText="0"/>
    </xf>
    <xf borderId="54" fillId="0" fontId="28" numFmtId="0" xfId="0" applyAlignment="1" applyBorder="1" applyFont="1">
      <alignment shrinkToFit="0" wrapText="0"/>
    </xf>
    <xf borderId="77" fillId="5" fontId="29" numFmtId="0" xfId="0" applyAlignment="1" applyBorder="1" applyFont="1">
      <alignment horizontal="center" shrinkToFit="0" wrapText="0"/>
    </xf>
    <xf borderId="77" fillId="5" fontId="37" numFmtId="0" xfId="0" applyAlignment="1" applyBorder="1" applyFont="1">
      <alignment horizontal="center" readingOrder="0" shrinkToFit="0" wrapText="0"/>
    </xf>
    <xf borderId="77" fillId="0" fontId="28" numFmtId="0" xfId="0" applyAlignment="1" applyBorder="1" applyFont="1">
      <alignment shrinkToFit="0" wrapText="0"/>
    </xf>
    <xf borderId="49" fillId="0" fontId="29" numFmtId="49" xfId="0" applyAlignment="1" applyBorder="1" applyFont="1" applyNumberFormat="1">
      <alignment horizontal="center" shrinkToFit="0" wrapText="0"/>
    </xf>
    <xf borderId="79" fillId="0" fontId="0" numFmtId="0" xfId="0" applyAlignment="1" applyBorder="1" applyFont="1">
      <alignment horizontal="center" readingOrder="0" shrinkToFit="0" wrapText="0"/>
    </xf>
    <xf borderId="77" fillId="4" fontId="28" numFmtId="0" xfId="0" applyAlignment="1" applyBorder="1" applyFont="1">
      <alignment horizontal="center" shrinkToFit="0" wrapText="0"/>
    </xf>
    <xf borderId="79" fillId="5" fontId="29" numFmtId="0" xfId="0" applyAlignment="1" applyBorder="1" applyFont="1">
      <alignment horizontal="center" shrinkToFit="0" wrapText="0"/>
    </xf>
    <xf borderId="77" fillId="0" fontId="0" numFmtId="0" xfId="0" applyAlignment="1" applyBorder="1" applyFont="1">
      <alignment shrinkToFit="0" wrapText="0"/>
    </xf>
    <xf borderId="77" fillId="0" fontId="0" numFmtId="0" xfId="0" applyAlignment="1" applyBorder="1" applyFont="1">
      <alignment horizontal="center" readingOrder="0" shrinkToFit="0" wrapText="0"/>
    </xf>
    <xf borderId="79" fillId="0" fontId="28" numFmtId="0" xfId="0" applyAlignment="1" applyBorder="1" applyFont="1">
      <alignment horizontal="center" readingOrder="0" shrinkToFit="0" wrapText="0"/>
    </xf>
    <xf borderId="0" fillId="0" fontId="43" numFmtId="0" xfId="0" applyAlignment="1" applyFont="1">
      <alignment horizontal="left" shrinkToFit="0" wrapText="0"/>
    </xf>
    <xf borderId="0" fillId="0" fontId="43" numFmtId="0" xfId="0" applyAlignment="1" applyFont="1">
      <alignment horizontal="center" readingOrder="0" shrinkToFit="0" wrapText="0"/>
    </xf>
    <xf borderId="86" fillId="10" fontId="62" numFmtId="0" xfId="0" applyAlignment="1" applyBorder="1" applyFill="1" applyFont="1">
      <alignment shrinkToFit="0" wrapText="0"/>
    </xf>
    <xf borderId="54" fillId="10" fontId="16" numFmtId="0" xfId="0" applyAlignment="1" applyBorder="1" applyFont="1">
      <alignment horizontal="center" readingOrder="0" shrinkToFit="0" wrapText="0"/>
    </xf>
    <xf borderId="0" fillId="0" fontId="29" numFmtId="0" xfId="0" applyAlignment="1" applyFont="1">
      <alignment shrinkToFit="0" wrapText="0"/>
    </xf>
    <xf borderId="56" fillId="0" fontId="28" numFmtId="0" xfId="0" applyAlignment="1" applyBorder="1" applyFont="1">
      <alignment shrinkToFit="0" wrapText="0"/>
    </xf>
    <xf borderId="47" fillId="0" fontId="29" numFmtId="49" xfId="0" applyAlignment="1" applyBorder="1" applyFont="1" applyNumberFormat="1">
      <alignment horizontal="center" shrinkToFit="0" wrapText="0"/>
    </xf>
    <xf borderId="47" fillId="0" fontId="28" numFmtId="0" xfId="0" applyAlignment="1" applyBorder="1" applyFont="1">
      <alignment shrinkToFit="0" wrapText="0"/>
    </xf>
    <xf borderId="77" fillId="0" fontId="2" numFmtId="0" xfId="0" applyAlignment="1" applyBorder="1" applyFont="1">
      <alignment readingOrder="0"/>
    </xf>
    <xf borderId="54" fillId="5" fontId="16" numFmtId="0" xfId="0" applyAlignment="1" applyBorder="1" applyFont="1">
      <alignment horizontal="center" readingOrder="0" shrinkToFit="0" vertical="center" wrapText="0"/>
    </xf>
    <xf borderId="32" fillId="0" fontId="29" numFmtId="49" xfId="0" applyAlignment="1" applyBorder="1" applyFont="1" applyNumberFormat="1">
      <alignment horizontal="center" shrinkToFit="0" wrapText="0"/>
    </xf>
    <xf borderId="56" fillId="0" fontId="0" numFmtId="0" xfId="0" applyAlignment="1" applyBorder="1" applyFont="1">
      <alignment horizontal="center" readingOrder="0" shrinkToFit="0" wrapText="0"/>
    </xf>
    <xf borderId="49" fillId="0" fontId="28" numFmtId="0" xfId="0" applyAlignment="1" applyBorder="1" applyFont="1">
      <alignment horizontal="left" readingOrder="0" shrinkToFit="0" wrapText="0"/>
    </xf>
    <xf borderId="47" fillId="0" fontId="28" numFmtId="0" xfId="0" applyAlignment="1" applyBorder="1" applyFont="1">
      <alignment horizontal="center" readingOrder="0" shrinkToFit="0" wrapText="0"/>
    </xf>
    <xf borderId="0" fillId="0" fontId="29" numFmtId="0" xfId="0" applyAlignment="1" applyFont="1">
      <alignment shrinkToFit="0" wrapText="1"/>
    </xf>
    <xf borderId="77" fillId="10" fontId="31" numFmtId="0" xfId="0" applyAlignment="1" applyBorder="1" applyFont="1">
      <alignment horizontal="center" readingOrder="0" shrinkToFit="0" wrapText="0"/>
    </xf>
    <xf borderId="77" fillId="10" fontId="37" numFmtId="0" xfId="0" applyAlignment="1" applyBorder="1" applyFont="1">
      <alignment horizontal="center" readingOrder="0" shrinkToFit="0" wrapText="0"/>
    </xf>
    <xf borderId="78" fillId="10" fontId="37" numFmtId="0" xfId="0" applyAlignment="1" applyBorder="1" applyFont="1">
      <alignment horizontal="center" readingOrder="0" shrinkToFit="0" wrapText="0"/>
    </xf>
    <xf borderId="53" fillId="0" fontId="29" numFmtId="49" xfId="0" applyAlignment="1" applyBorder="1" applyFont="1" applyNumberFormat="1">
      <alignment horizontal="center" shrinkToFit="0" wrapText="0"/>
    </xf>
    <xf borderId="54" fillId="0" fontId="2" numFmtId="0" xfId="0" applyBorder="1" applyFont="1"/>
    <xf borderId="9" fillId="0" fontId="29" numFmtId="49" xfId="0" applyAlignment="1" applyBorder="1" applyFont="1" applyNumberFormat="1">
      <alignment horizontal="center" shrinkToFit="0" wrapText="0"/>
    </xf>
    <xf borderId="0" fillId="0" fontId="63" numFmtId="0" xfId="0" applyAlignment="1" applyFont="1">
      <alignment horizontal="center" readingOrder="0" shrinkToFit="0" wrapText="0"/>
    </xf>
    <xf borderId="56" fillId="0" fontId="29" numFmtId="49" xfId="0" applyAlignment="1" applyBorder="1" applyFont="1" applyNumberFormat="1">
      <alignment horizontal="center" readingOrder="0" shrinkToFit="0" wrapText="0"/>
    </xf>
    <xf borderId="38" fillId="0" fontId="37" numFmtId="0" xfId="0" applyAlignment="1" applyBorder="1" applyFont="1">
      <alignment horizontal="center" readingOrder="0" shrinkToFit="0" wrapText="1"/>
    </xf>
    <xf borderId="0" fillId="0" fontId="29" numFmtId="2" xfId="0" applyAlignment="1" applyFont="1" applyNumberFormat="1">
      <alignment horizontal="center" shrinkToFit="0" wrapText="0"/>
    </xf>
    <xf borderId="77" fillId="5" fontId="16" numFmtId="0" xfId="0" applyAlignment="1" applyBorder="1" applyFont="1">
      <alignment horizontal="center" readingOrder="0" shrinkToFit="0" vertical="center" wrapText="0"/>
    </xf>
    <xf borderId="28" fillId="5" fontId="37" numFmtId="0" xfId="0" applyAlignment="1" applyBorder="1" applyFont="1">
      <alignment horizontal="center" readingOrder="0" shrinkToFit="0" wrapText="1"/>
    </xf>
    <xf borderId="49" fillId="0" fontId="29" numFmtId="49" xfId="0" applyAlignment="1" applyBorder="1" applyFont="1" applyNumberFormat="1">
      <alignment horizontal="center" readingOrder="0" shrinkToFit="0" wrapText="0"/>
    </xf>
    <xf borderId="97" fillId="4" fontId="28" numFmtId="14" xfId="0" applyAlignment="1" applyBorder="1" applyFont="1" applyNumberFormat="1">
      <alignment horizontal="left" shrinkToFit="0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.page/ClujHub?shar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office.com/e/hTMuYEizZQ" TargetMode="External"/><Relationship Id="rId2" Type="http://schemas.openxmlformats.org/officeDocument/2006/relationships/hyperlink" Target="https://forms.office.com/e/bQq2z0SHDG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9.38"/>
    <col customWidth="1" min="3" max="3" width="25.75"/>
    <col customWidth="1" hidden="1" min="4" max="4" width="9.5"/>
    <col customWidth="1" min="5" max="6" width="7.63"/>
    <col customWidth="1" min="7" max="7" width="23.0"/>
    <col customWidth="1" hidden="1" min="8" max="8" width="10.38"/>
    <col customWidth="1" min="9" max="9" width="7.63"/>
    <col customWidth="1" min="10" max="10" width="33.63"/>
    <col customWidth="1" min="11" max="19" width="7.63"/>
    <col customWidth="1" min="20" max="26" width="15.13"/>
  </cols>
  <sheetData>
    <row r="1" ht="21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1"/>
      <c r="L1" s="1"/>
      <c r="M1" s="1"/>
      <c r="N1" s="1"/>
      <c r="O1" s="1"/>
      <c r="P1" s="1"/>
      <c r="Q1" s="1"/>
      <c r="R1" s="1"/>
      <c r="S1" s="1"/>
    </row>
    <row r="2" ht="13.5" customHeight="1">
      <c r="A2" s="1"/>
      <c r="B2" s="5" t="s">
        <v>1</v>
      </c>
      <c r="C2" s="6"/>
      <c r="D2" s="7"/>
      <c r="E2" s="8" t="str">
        <f>HYPERLINK("http://www.utcluj.ro/","www.utcluj.ro")</f>
        <v>www.utcluj.ro</v>
      </c>
      <c r="F2" s="6"/>
      <c r="G2" s="6"/>
      <c r="H2" s="7"/>
      <c r="I2" s="9" t="s">
        <v>2</v>
      </c>
      <c r="J2" s="10"/>
      <c r="K2" s="1"/>
      <c r="L2" s="1"/>
      <c r="M2" s="1"/>
      <c r="N2" s="1"/>
      <c r="O2" s="1"/>
      <c r="P2" s="1"/>
      <c r="Q2" s="1"/>
      <c r="R2" s="1"/>
      <c r="S2" s="1"/>
    </row>
    <row r="3" ht="14.25" customHeight="1">
      <c r="A3" s="1"/>
      <c r="B3" s="11"/>
      <c r="C3" s="12"/>
      <c r="D3" s="13"/>
      <c r="E3" s="14" t="str">
        <f>HYPERLINK("http://www.utcluj.ro/biblioteca/","http://www.utcluj.ro/biblioteca/")</f>
        <v>http://www.utcluj.ro/biblioteca/</v>
      </c>
      <c r="F3" s="12"/>
      <c r="G3" s="12"/>
      <c r="H3" s="13"/>
      <c r="I3" s="15"/>
      <c r="J3" s="16"/>
      <c r="K3" s="1"/>
      <c r="L3" s="1"/>
      <c r="M3" s="1"/>
      <c r="N3" s="1"/>
      <c r="O3" s="1"/>
      <c r="P3" s="1"/>
      <c r="Q3" s="1"/>
      <c r="R3" s="1"/>
      <c r="S3" s="1"/>
    </row>
    <row r="4" ht="14.25" customHeight="1">
      <c r="A4" s="1"/>
      <c r="B4" s="11"/>
      <c r="C4" s="12"/>
      <c r="D4" s="13"/>
      <c r="E4" s="14" t="str">
        <f>HYPERLINK("http://www.utcluj.ro/telefoane/","http://www.utcluj.ro/telefoane/")</f>
        <v>http://www.utcluj.ro/telefoane/</v>
      </c>
      <c r="F4" s="12"/>
      <c r="G4" s="12"/>
      <c r="H4" s="13"/>
      <c r="I4" s="15"/>
      <c r="J4" s="16"/>
      <c r="K4" s="1"/>
      <c r="L4" s="1"/>
      <c r="M4" s="1"/>
      <c r="N4" s="1"/>
      <c r="O4" s="1"/>
      <c r="P4" s="1"/>
      <c r="Q4" s="1"/>
      <c r="R4" s="1"/>
      <c r="S4" s="1"/>
    </row>
    <row r="5" ht="15.75" customHeight="1">
      <c r="A5" s="17"/>
      <c r="B5" s="18" t="s">
        <v>3</v>
      </c>
      <c r="C5" s="19"/>
      <c r="D5" s="20" t="s">
        <v>4</v>
      </c>
      <c r="E5" s="12"/>
      <c r="F5" s="12"/>
      <c r="G5" s="13"/>
      <c r="H5" s="21" t="s">
        <v>5</v>
      </c>
      <c r="I5" s="22" t="s">
        <v>6</v>
      </c>
      <c r="J5" s="16"/>
      <c r="K5" s="17"/>
      <c r="L5" s="1"/>
      <c r="M5" s="1"/>
      <c r="N5" s="1"/>
      <c r="O5" s="1"/>
      <c r="P5" s="1"/>
      <c r="Q5" s="1"/>
      <c r="R5" s="1"/>
      <c r="S5" s="1"/>
    </row>
    <row r="6" ht="15.75" customHeight="1">
      <c r="A6" s="17"/>
      <c r="B6" s="23" t="s">
        <v>7</v>
      </c>
      <c r="C6" s="13"/>
      <c r="D6" s="21"/>
      <c r="E6" s="22" t="s">
        <v>8</v>
      </c>
      <c r="F6" s="12"/>
      <c r="G6" s="13"/>
      <c r="H6" s="21"/>
      <c r="I6" s="22" t="s">
        <v>9</v>
      </c>
      <c r="J6" s="16"/>
      <c r="K6" s="17"/>
      <c r="L6" s="1"/>
      <c r="M6" s="1"/>
      <c r="N6" s="1"/>
      <c r="O6" s="1"/>
      <c r="P6" s="1"/>
      <c r="Q6" s="1"/>
      <c r="R6" s="1"/>
      <c r="S6" s="1"/>
    </row>
    <row r="7" ht="15.75" customHeight="1">
      <c r="A7" s="17"/>
      <c r="B7" s="24" t="s">
        <v>10</v>
      </c>
      <c r="C7" s="25" t="s">
        <v>11</v>
      </c>
      <c r="D7" s="26" t="s">
        <v>12</v>
      </c>
      <c r="E7" s="12"/>
      <c r="F7" s="12"/>
      <c r="G7" s="13"/>
      <c r="H7" s="27" t="s">
        <v>13</v>
      </c>
      <c r="I7" s="12"/>
      <c r="J7" s="16"/>
      <c r="K7" s="17"/>
      <c r="L7" s="1"/>
      <c r="M7" s="1"/>
      <c r="N7" s="1"/>
      <c r="O7" s="1"/>
      <c r="P7" s="1"/>
      <c r="Q7" s="1"/>
      <c r="R7" s="1"/>
      <c r="S7" s="1"/>
    </row>
    <row r="8" ht="15.75" customHeight="1">
      <c r="A8" s="17"/>
      <c r="B8" s="28"/>
      <c r="C8" s="29" t="s">
        <v>14</v>
      </c>
      <c r="D8" s="30" t="s">
        <v>15</v>
      </c>
      <c r="E8" s="12"/>
      <c r="F8" s="12"/>
      <c r="G8" s="13"/>
      <c r="H8" s="27" t="s">
        <v>16</v>
      </c>
      <c r="I8" s="12"/>
      <c r="J8" s="16"/>
      <c r="K8" s="17"/>
      <c r="L8" s="1"/>
      <c r="M8" s="1"/>
      <c r="N8" s="1"/>
      <c r="O8" s="1"/>
      <c r="P8" s="1"/>
      <c r="Q8" s="1"/>
      <c r="R8" s="1"/>
      <c r="S8" s="1"/>
    </row>
    <row r="9" ht="15.75" customHeight="1">
      <c r="A9" s="17"/>
      <c r="B9" s="23" t="s">
        <v>17</v>
      </c>
      <c r="C9" s="13"/>
      <c r="D9" s="31" t="s">
        <v>18</v>
      </c>
      <c r="E9" s="32"/>
      <c r="F9" s="32"/>
      <c r="G9" s="33"/>
      <c r="H9" s="34" t="s">
        <v>19</v>
      </c>
      <c r="I9" s="32"/>
      <c r="J9" s="35"/>
      <c r="K9" s="17"/>
      <c r="L9" s="1"/>
      <c r="M9" s="1"/>
      <c r="N9" s="1"/>
      <c r="O9" s="1"/>
      <c r="P9" s="1"/>
      <c r="Q9" s="1"/>
      <c r="R9" s="1"/>
      <c r="S9" s="1"/>
    </row>
    <row r="10" ht="15.75" customHeight="1">
      <c r="A10" s="17"/>
      <c r="B10" s="36" t="s">
        <v>20</v>
      </c>
      <c r="C10" s="19"/>
      <c r="D10" s="37"/>
      <c r="E10" s="38"/>
      <c r="F10" s="38"/>
      <c r="G10" s="39"/>
      <c r="H10" s="37"/>
      <c r="I10" s="38"/>
      <c r="J10" s="40"/>
      <c r="K10" s="17"/>
      <c r="L10" s="1"/>
      <c r="M10" s="1"/>
      <c r="N10" s="1"/>
      <c r="O10" s="1"/>
      <c r="P10" s="1"/>
      <c r="Q10" s="1"/>
      <c r="R10" s="1"/>
      <c r="S10" s="1"/>
    </row>
    <row r="11" ht="16.5" customHeight="1">
      <c r="A11" s="17"/>
      <c r="B11" s="18" t="s">
        <v>21</v>
      </c>
      <c r="C11" s="19"/>
      <c r="D11" s="41" t="s">
        <v>22</v>
      </c>
      <c r="E11" s="12"/>
      <c r="F11" s="12"/>
      <c r="G11" s="13"/>
      <c r="H11" s="22" t="s">
        <v>23</v>
      </c>
      <c r="I11" s="12"/>
      <c r="J11" s="16"/>
      <c r="K11" s="17"/>
      <c r="L11" s="1"/>
      <c r="M11" s="1"/>
      <c r="N11" s="1"/>
      <c r="O11" s="1"/>
      <c r="P11" s="1"/>
      <c r="Q11" s="1"/>
      <c r="R11" s="1"/>
      <c r="S11" s="1"/>
    </row>
    <row r="12" ht="21.0" customHeight="1">
      <c r="A12" s="17"/>
      <c r="B12" s="36" t="s">
        <v>24</v>
      </c>
      <c r="C12" s="19"/>
      <c r="D12" s="41" t="s">
        <v>25</v>
      </c>
      <c r="E12" s="12"/>
      <c r="F12" s="12"/>
      <c r="G12" s="13"/>
      <c r="H12" s="22" t="s">
        <v>19</v>
      </c>
      <c r="I12" s="12"/>
      <c r="J12" s="16"/>
      <c r="K12" s="17"/>
      <c r="L12" s="1"/>
      <c r="M12" s="1"/>
      <c r="N12" s="1"/>
      <c r="O12" s="1"/>
      <c r="P12" s="1"/>
      <c r="Q12" s="1"/>
      <c r="R12" s="1"/>
      <c r="S12" s="1"/>
    </row>
    <row r="13" ht="15.75" customHeight="1">
      <c r="A13" s="17"/>
      <c r="B13" s="18" t="s">
        <v>26</v>
      </c>
      <c r="C13" s="42" t="s">
        <v>27</v>
      </c>
      <c r="D13" s="43" t="s">
        <v>28</v>
      </c>
      <c r="E13" s="32"/>
      <c r="F13" s="32"/>
      <c r="G13" s="33"/>
      <c r="H13" s="31" t="s">
        <v>29</v>
      </c>
      <c r="I13" s="32"/>
      <c r="J13" s="35"/>
      <c r="K13" s="17"/>
      <c r="L13" s="1"/>
      <c r="M13" s="1"/>
      <c r="N13" s="1"/>
      <c r="O13" s="1"/>
      <c r="P13" s="1"/>
      <c r="Q13" s="1"/>
      <c r="R13" s="1"/>
      <c r="S13" s="1"/>
    </row>
    <row r="14" ht="15.75" customHeight="1">
      <c r="A14" s="17"/>
      <c r="B14" s="18"/>
      <c r="C14" s="42" t="s">
        <v>30</v>
      </c>
      <c r="D14" s="44"/>
      <c r="G14" s="45"/>
      <c r="H14" s="44"/>
      <c r="J14" s="46"/>
      <c r="K14" s="17"/>
      <c r="L14" s="1"/>
      <c r="M14" s="1"/>
      <c r="N14" s="1"/>
      <c r="O14" s="1"/>
      <c r="P14" s="1"/>
      <c r="Q14" s="1"/>
      <c r="R14" s="1"/>
      <c r="S14" s="1"/>
    </row>
    <row r="15" ht="16.5" customHeight="1">
      <c r="A15" s="17"/>
      <c r="B15" s="18"/>
      <c r="C15" s="47" t="s">
        <v>31</v>
      </c>
      <c r="D15" s="37"/>
      <c r="E15" s="38"/>
      <c r="F15" s="38"/>
      <c r="G15" s="39"/>
      <c r="H15" s="37"/>
      <c r="I15" s="38"/>
      <c r="J15" s="40"/>
      <c r="K15" s="17"/>
      <c r="L15" s="1"/>
      <c r="M15" s="1"/>
      <c r="N15" s="1"/>
      <c r="O15" s="1"/>
      <c r="P15" s="1"/>
      <c r="Q15" s="1"/>
      <c r="R15" s="1"/>
      <c r="S15" s="1"/>
    </row>
    <row r="16" ht="28.5" customHeight="1">
      <c r="A16" s="17"/>
      <c r="B16" s="18" t="s">
        <v>32</v>
      </c>
      <c r="C16" s="19"/>
      <c r="D16" s="22" t="s">
        <v>33</v>
      </c>
      <c r="E16" s="12"/>
      <c r="F16" s="12"/>
      <c r="G16" s="13"/>
      <c r="H16" s="21" t="s">
        <v>34</v>
      </c>
      <c r="I16" s="22" t="s">
        <v>35</v>
      </c>
      <c r="J16" s="16"/>
      <c r="K16" s="17"/>
      <c r="L16" s="1"/>
      <c r="M16" s="1"/>
      <c r="N16" s="1"/>
      <c r="O16" s="1"/>
      <c r="P16" s="1"/>
      <c r="Q16" s="1"/>
      <c r="R16" s="1"/>
      <c r="S16" s="1"/>
    </row>
    <row r="17" ht="15.75" customHeight="1">
      <c r="A17" s="17"/>
      <c r="B17" s="36" t="s">
        <v>36</v>
      </c>
      <c r="C17" s="19"/>
      <c r="D17" s="41" t="s">
        <v>37</v>
      </c>
      <c r="E17" s="12"/>
      <c r="F17" s="12"/>
      <c r="G17" s="13"/>
      <c r="H17" s="21" t="s">
        <v>34</v>
      </c>
      <c r="I17" s="22" t="s">
        <v>38</v>
      </c>
      <c r="J17" s="16"/>
      <c r="K17" s="17"/>
      <c r="L17" s="1"/>
      <c r="M17" s="1"/>
      <c r="N17" s="1"/>
      <c r="O17" s="1"/>
      <c r="P17" s="1"/>
      <c r="Q17" s="1"/>
      <c r="R17" s="1"/>
      <c r="S17" s="1"/>
    </row>
    <row r="18" ht="15.75" customHeight="1">
      <c r="A18" s="17"/>
      <c r="B18" s="18" t="s">
        <v>39</v>
      </c>
      <c r="C18" s="19"/>
      <c r="D18" s="41" t="s">
        <v>40</v>
      </c>
      <c r="E18" s="12"/>
      <c r="F18" s="12"/>
      <c r="G18" s="13"/>
      <c r="H18" s="41" t="s">
        <v>41</v>
      </c>
      <c r="I18" s="12"/>
      <c r="J18" s="16"/>
      <c r="K18" s="17"/>
      <c r="L18" s="1"/>
      <c r="M18" s="1"/>
      <c r="N18" s="1"/>
      <c r="O18" s="1"/>
      <c r="P18" s="1"/>
      <c r="Q18" s="1"/>
      <c r="R18" s="1"/>
      <c r="S18" s="1"/>
    </row>
    <row r="19" ht="15.75" hidden="1" customHeight="1">
      <c r="A19" s="17"/>
      <c r="B19" s="48" t="s">
        <v>42</v>
      </c>
      <c r="C19" s="13"/>
      <c r="D19" s="19"/>
      <c r="E19" s="22" t="s">
        <v>43</v>
      </c>
      <c r="F19" s="12"/>
      <c r="G19" s="13"/>
      <c r="H19" s="19"/>
      <c r="I19" s="49" t="s">
        <v>44</v>
      </c>
      <c r="J19" s="16"/>
      <c r="K19" s="17"/>
      <c r="L19" s="1"/>
      <c r="M19" s="1"/>
      <c r="N19" s="1"/>
      <c r="O19" s="1"/>
      <c r="P19" s="1"/>
      <c r="Q19" s="1"/>
      <c r="R19" s="1"/>
      <c r="S19" s="1"/>
    </row>
    <row r="20" ht="15.75" customHeight="1">
      <c r="A20" s="17"/>
      <c r="B20" s="18" t="s">
        <v>45</v>
      </c>
      <c r="C20" s="19"/>
      <c r="D20" s="41" t="s">
        <v>46</v>
      </c>
      <c r="E20" s="12"/>
      <c r="F20" s="12"/>
      <c r="G20" s="13"/>
      <c r="H20" s="41" t="s">
        <v>47</v>
      </c>
      <c r="I20" s="12"/>
      <c r="J20" s="16"/>
      <c r="K20" s="17"/>
      <c r="L20" s="1"/>
      <c r="M20" s="1"/>
      <c r="N20" s="1"/>
      <c r="O20" s="1"/>
      <c r="P20" s="1"/>
      <c r="Q20" s="1"/>
      <c r="R20" s="1"/>
      <c r="S20" s="1"/>
    </row>
    <row r="21" ht="15.75" customHeight="1">
      <c r="A21" s="17"/>
      <c r="B21" s="18" t="s">
        <v>48</v>
      </c>
      <c r="C21" s="50" t="s">
        <v>49</v>
      </c>
      <c r="D21" s="41" t="s">
        <v>50</v>
      </c>
      <c r="E21" s="12"/>
      <c r="F21" s="12"/>
      <c r="G21" s="13"/>
      <c r="H21" s="22" t="s">
        <v>51</v>
      </c>
      <c r="I21" s="12"/>
      <c r="J21" s="16"/>
      <c r="K21" s="17"/>
      <c r="L21" s="1"/>
      <c r="M21" s="1"/>
      <c r="N21" s="1"/>
      <c r="O21" s="1"/>
      <c r="P21" s="1"/>
      <c r="Q21" s="1"/>
      <c r="R21" s="1"/>
      <c r="S21" s="1"/>
    </row>
    <row r="22">
      <c r="A22" s="17"/>
      <c r="B22" s="48" t="s">
        <v>52</v>
      </c>
      <c r="C22" s="13"/>
      <c r="D22" s="20" t="s">
        <v>53</v>
      </c>
      <c r="E22" s="12"/>
      <c r="F22" s="12"/>
      <c r="G22" s="13"/>
      <c r="H22" s="22" t="s">
        <v>54</v>
      </c>
      <c r="I22" s="12"/>
      <c r="J22" s="16"/>
      <c r="K22" s="17"/>
      <c r="L22" s="1"/>
      <c r="M22" s="1"/>
      <c r="N22" s="1"/>
      <c r="O22" s="1"/>
      <c r="P22" s="1"/>
      <c r="Q22" s="1"/>
      <c r="R22" s="1"/>
      <c r="S22" s="1"/>
    </row>
    <row r="23" ht="15.0" customHeight="1">
      <c r="A23" s="17"/>
      <c r="B23" s="51"/>
      <c r="C23" s="50" t="s">
        <v>55</v>
      </c>
      <c r="D23" s="31" t="s">
        <v>56</v>
      </c>
      <c r="E23" s="32"/>
      <c r="F23" s="32"/>
      <c r="G23" s="33"/>
      <c r="H23" s="52" t="s">
        <v>57</v>
      </c>
      <c r="I23" s="53" t="s">
        <v>58</v>
      </c>
      <c r="J23" s="46"/>
      <c r="K23" s="17"/>
      <c r="L23" s="1"/>
      <c r="M23" s="1"/>
      <c r="N23" s="1"/>
      <c r="O23" s="1"/>
      <c r="P23" s="1"/>
      <c r="Q23" s="1"/>
      <c r="R23" s="1"/>
      <c r="S23" s="1"/>
    </row>
    <row r="24" ht="12.75" customHeight="1">
      <c r="A24" s="17"/>
      <c r="B24" s="54"/>
      <c r="C24" s="50" t="s">
        <v>59</v>
      </c>
      <c r="D24" s="44"/>
      <c r="G24" s="45"/>
      <c r="H24" s="55"/>
      <c r="J24" s="46"/>
      <c r="K24" s="17"/>
      <c r="L24" s="1"/>
      <c r="M24" s="1"/>
      <c r="N24" s="1"/>
      <c r="O24" s="1"/>
      <c r="P24" s="1"/>
      <c r="Q24" s="1"/>
      <c r="R24" s="1"/>
      <c r="S24" s="1"/>
    </row>
    <row r="25" ht="12.75" customHeight="1">
      <c r="A25" s="17"/>
      <c r="B25" s="28"/>
      <c r="C25" s="42" t="s">
        <v>60</v>
      </c>
      <c r="D25" s="37"/>
      <c r="E25" s="38"/>
      <c r="F25" s="38"/>
      <c r="G25" s="39"/>
      <c r="H25" s="56"/>
      <c r="I25" s="38"/>
      <c r="J25" s="40"/>
      <c r="K25" s="17"/>
      <c r="L25" s="1"/>
      <c r="M25" s="1"/>
      <c r="N25" s="1"/>
      <c r="O25" s="1"/>
      <c r="P25" s="1"/>
      <c r="Q25" s="1"/>
      <c r="R25" s="1"/>
      <c r="S25" s="1"/>
    </row>
    <row r="26" ht="13.5" customHeight="1">
      <c r="A26" s="17"/>
      <c r="B26" s="57" t="s">
        <v>61</v>
      </c>
      <c r="C26" s="33"/>
      <c r="D26" s="58" t="s">
        <v>62</v>
      </c>
      <c r="E26" s="32"/>
      <c r="F26" s="32"/>
      <c r="G26" s="33"/>
      <c r="H26" s="34" t="s">
        <v>63</v>
      </c>
      <c r="I26" s="32"/>
      <c r="J26" s="35"/>
      <c r="K26" s="17"/>
      <c r="L26" s="1"/>
      <c r="M26" s="1"/>
      <c r="N26" s="1"/>
      <c r="O26" s="1"/>
      <c r="P26" s="1"/>
      <c r="Q26" s="1"/>
      <c r="R26" s="1"/>
      <c r="S26" s="1"/>
    </row>
    <row r="27" ht="15.75" customHeight="1">
      <c r="A27" s="17"/>
      <c r="B27" s="59"/>
      <c r="C27" s="45"/>
      <c r="D27" s="44"/>
      <c r="G27" s="45"/>
      <c r="H27" s="44"/>
      <c r="J27" s="46"/>
      <c r="K27" s="17"/>
      <c r="L27" s="1"/>
      <c r="M27" s="1"/>
      <c r="N27" s="1"/>
      <c r="O27" s="1"/>
      <c r="P27" s="1"/>
      <c r="Q27" s="1"/>
      <c r="R27" s="1"/>
      <c r="S27" s="1"/>
    </row>
    <row r="28" ht="14.25" customHeight="1">
      <c r="A28" s="17"/>
      <c r="B28" s="60"/>
      <c r="C28" s="39"/>
      <c r="D28" s="37"/>
      <c r="E28" s="38"/>
      <c r="F28" s="38"/>
      <c r="G28" s="39"/>
      <c r="H28" s="37"/>
      <c r="I28" s="38"/>
      <c r="J28" s="40"/>
      <c r="K28" s="17"/>
      <c r="L28" s="1"/>
      <c r="M28" s="1"/>
      <c r="N28" s="1"/>
      <c r="O28" s="1"/>
      <c r="P28" s="1"/>
      <c r="Q28" s="1"/>
      <c r="R28" s="1"/>
      <c r="S28" s="1"/>
    </row>
    <row r="29" ht="16.5" customHeight="1">
      <c r="A29" s="17"/>
      <c r="B29" s="61" t="s">
        <v>64</v>
      </c>
      <c r="C29" s="62"/>
      <c r="D29" s="63" t="str">
        <f>HYPERLINK("http://www.utcluj.ro/centrul-de-natatie/","http://www.utcluj.ro/centrul-de-natatie/")</f>
        <v>http://www.utcluj.ro/centrul-de-natatie/</v>
      </c>
      <c r="E29" s="64"/>
      <c r="F29" s="64"/>
      <c r="G29" s="62"/>
      <c r="H29" s="65"/>
      <c r="I29" s="66"/>
      <c r="J29" s="67"/>
      <c r="K29" s="17"/>
      <c r="L29" s="1"/>
      <c r="M29" s="1"/>
      <c r="N29" s="1"/>
      <c r="O29" s="1"/>
      <c r="P29" s="1"/>
      <c r="Q29" s="1"/>
      <c r="R29" s="1"/>
      <c r="S29" s="1"/>
    </row>
    <row r="30" ht="8.25" customHeight="1">
      <c r="A30" s="1"/>
      <c r="B30" s="68" t="s">
        <v>65</v>
      </c>
      <c r="K30" s="1"/>
      <c r="L30" s="1"/>
      <c r="M30" s="1"/>
      <c r="N30" s="1"/>
      <c r="O30" s="1"/>
      <c r="P30" s="1"/>
      <c r="Q30" s="1"/>
      <c r="R30" s="1"/>
      <c r="S30" s="1"/>
    </row>
    <row r="31" ht="12.75" customHeight="1">
      <c r="A31" s="1"/>
      <c r="B31" s="69"/>
      <c r="K31" s="1"/>
      <c r="L31" s="1"/>
      <c r="M31" s="1"/>
      <c r="N31" s="1"/>
      <c r="O31" s="1"/>
      <c r="P31" s="1"/>
      <c r="Q31" s="1"/>
      <c r="R31" s="1"/>
      <c r="S31" s="1"/>
    </row>
    <row r="32" ht="6.0" customHeight="1">
      <c r="A32" s="1"/>
      <c r="B32" s="70"/>
      <c r="C32" s="71"/>
      <c r="D32" s="71"/>
      <c r="E32" s="71"/>
      <c r="F32" s="71"/>
      <c r="G32" s="71"/>
      <c r="H32" s="71"/>
      <c r="I32" s="71"/>
      <c r="J32" s="71"/>
      <c r="K32" s="1"/>
      <c r="L32" s="1"/>
      <c r="M32" s="1"/>
      <c r="N32" s="1"/>
      <c r="O32" s="1"/>
      <c r="P32" s="1"/>
      <c r="Q32" s="1"/>
      <c r="R32" s="1"/>
      <c r="S32" s="1"/>
    </row>
    <row r="33" ht="15.75" customHeight="1">
      <c r="A33" s="1"/>
      <c r="B33" s="1"/>
      <c r="C33" s="1"/>
      <c r="D33" s="72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73" t="s">
        <v>66</v>
      </c>
      <c r="C35" s="73" t="s">
        <v>67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74"/>
      <c r="B36" s="74"/>
      <c r="C36" s="75" t="s">
        <v>68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</row>
    <row r="37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</row>
    <row r="38">
      <c r="A38" s="73" t="s">
        <v>69</v>
      </c>
      <c r="C38" s="73" t="s">
        <v>70</v>
      </c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</row>
    <row r="39">
      <c r="A39" s="74"/>
      <c r="B39" s="74"/>
      <c r="C39" s="75" t="s">
        <v>71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</row>
    <row r="40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</row>
    <row r="4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</row>
    <row r="42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</row>
    <row r="43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</row>
    <row r="44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</row>
    <row r="4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</row>
    <row r="46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</row>
    <row r="47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</row>
    <row r="48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</row>
    <row r="49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</row>
    <row r="50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</row>
    <row r="5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</row>
    <row r="5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</row>
    <row r="5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</row>
    <row r="5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</row>
    <row r="56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</row>
    <row r="60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</row>
    <row r="6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</row>
    <row r="1001">
      <c r="A1001" s="74"/>
      <c r="B1001" s="74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</row>
    <row r="1002">
      <c r="A1002" s="74"/>
      <c r="B1002" s="74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4"/>
      <c r="P1002" s="74"/>
      <c r="Q1002" s="74"/>
      <c r="R1002" s="74"/>
      <c r="S1002" s="74"/>
    </row>
  </sheetData>
  <mergeCells count="58">
    <mergeCell ref="D18:G18"/>
    <mergeCell ref="H18:J18"/>
    <mergeCell ref="B19:C19"/>
    <mergeCell ref="E19:G19"/>
    <mergeCell ref="I19:J19"/>
    <mergeCell ref="D20:G20"/>
    <mergeCell ref="H20:J20"/>
    <mergeCell ref="D21:G21"/>
    <mergeCell ref="H21:J21"/>
    <mergeCell ref="B22:C22"/>
    <mergeCell ref="D22:G22"/>
    <mergeCell ref="H22:J22"/>
    <mergeCell ref="D23:G25"/>
    <mergeCell ref="I23:J25"/>
    <mergeCell ref="B1:J1"/>
    <mergeCell ref="B2:D2"/>
    <mergeCell ref="E2:H2"/>
    <mergeCell ref="I2:J2"/>
    <mergeCell ref="B3:D3"/>
    <mergeCell ref="E3:H3"/>
    <mergeCell ref="I3:J3"/>
    <mergeCell ref="B6:C6"/>
    <mergeCell ref="B7:B8"/>
    <mergeCell ref="B9:C9"/>
    <mergeCell ref="B4:D4"/>
    <mergeCell ref="E4:H4"/>
    <mergeCell ref="I4:J4"/>
    <mergeCell ref="D5:G5"/>
    <mergeCell ref="I5:J5"/>
    <mergeCell ref="E6:G6"/>
    <mergeCell ref="I6:J6"/>
    <mergeCell ref="D7:G7"/>
    <mergeCell ref="H7:J7"/>
    <mergeCell ref="D8:G8"/>
    <mergeCell ref="H8:J8"/>
    <mergeCell ref="D9:G10"/>
    <mergeCell ref="H9:J10"/>
    <mergeCell ref="H11:J11"/>
    <mergeCell ref="I16:J16"/>
    <mergeCell ref="I17:J17"/>
    <mergeCell ref="D11:G11"/>
    <mergeCell ref="D12:G12"/>
    <mergeCell ref="H12:J12"/>
    <mergeCell ref="D13:G15"/>
    <mergeCell ref="H13:J15"/>
    <mergeCell ref="D16:G16"/>
    <mergeCell ref="D17:G17"/>
    <mergeCell ref="B30:J32"/>
    <mergeCell ref="D33:I33"/>
    <mergeCell ref="A35:B35"/>
    <mergeCell ref="A38:B38"/>
    <mergeCell ref="B23:B25"/>
    <mergeCell ref="B26:C28"/>
    <mergeCell ref="D26:G28"/>
    <mergeCell ref="H26:J28"/>
    <mergeCell ref="B29:C29"/>
    <mergeCell ref="D29:G29"/>
    <mergeCell ref="I29:J29"/>
  </mergeCells>
  <hyperlinks>
    <hyperlink r:id="rId1" ref="I1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3.88"/>
    <col customWidth="1" min="3" max="3" width="6.0"/>
    <col customWidth="1" min="4" max="4" width="6.63"/>
    <col customWidth="1" min="5" max="6" width="6.38"/>
    <col customWidth="1" min="7" max="7" width="6.13"/>
    <col customWidth="1" min="8" max="8" width="6.63"/>
    <col customWidth="1" min="9" max="9" width="6.13"/>
    <col customWidth="1" min="10" max="10" width="6.38"/>
    <col customWidth="1" min="11" max="12" width="7.0"/>
    <col customWidth="1" min="13" max="13" width="6.0"/>
    <col customWidth="1" min="14" max="14" width="6.63"/>
    <col customWidth="1" min="15" max="15" width="6.0"/>
    <col customWidth="1" min="16" max="16" width="7.0"/>
    <col customWidth="1" min="17" max="20" width="6.5"/>
    <col customWidth="1" min="21" max="21" width="10.75"/>
    <col customWidth="1" min="22" max="23" width="6.5"/>
    <col customWidth="1" min="24" max="25" width="7.25"/>
  </cols>
  <sheetData>
    <row r="1" ht="12.75" customHeight="1">
      <c r="A1" s="76"/>
      <c r="B1" s="77" t="s">
        <v>72</v>
      </c>
      <c r="S1" s="78"/>
      <c r="T1" s="78"/>
      <c r="U1" s="79"/>
      <c r="V1" s="80"/>
      <c r="W1" s="80"/>
      <c r="X1" s="76"/>
      <c r="Y1" s="76"/>
    </row>
    <row r="2" ht="12.75" customHeight="1">
      <c r="A2" s="76"/>
      <c r="B2" s="81"/>
      <c r="C2" s="82">
        <v>30211.0</v>
      </c>
      <c r="D2" s="10"/>
      <c r="E2" s="82">
        <v>30212.0</v>
      </c>
      <c r="F2" s="7"/>
      <c r="G2" s="82">
        <v>30213.0</v>
      </c>
      <c r="H2" s="7"/>
      <c r="I2" s="82">
        <v>30214.0</v>
      </c>
      <c r="J2" s="7"/>
      <c r="K2" s="82">
        <v>30215.0</v>
      </c>
      <c r="L2" s="10"/>
      <c r="M2" s="82">
        <v>30216.0</v>
      </c>
      <c r="N2" s="10"/>
      <c r="O2" s="82">
        <v>30217.0</v>
      </c>
      <c r="P2" s="7"/>
      <c r="Q2" s="82">
        <v>30218.0</v>
      </c>
      <c r="R2" s="7"/>
      <c r="S2" s="83">
        <v>30219.0</v>
      </c>
      <c r="T2" s="7"/>
      <c r="U2" s="84">
        <v>302110.0</v>
      </c>
      <c r="V2" s="85" t="s">
        <v>73</v>
      </c>
      <c r="W2" s="86"/>
      <c r="X2" s="87"/>
      <c r="Y2" s="87"/>
    </row>
    <row r="3" ht="13.5" customHeight="1">
      <c r="A3" s="79"/>
      <c r="B3" s="88"/>
      <c r="C3" s="89">
        <v>1.0</v>
      </c>
      <c r="D3" s="89">
        <v>2.0</v>
      </c>
      <c r="E3" s="89">
        <v>1.0</v>
      </c>
      <c r="F3" s="89">
        <v>2.0</v>
      </c>
      <c r="G3" s="89">
        <v>1.0</v>
      </c>
      <c r="H3" s="89">
        <v>2.0</v>
      </c>
      <c r="I3" s="89">
        <v>1.0</v>
      </c>
      <c r="J3" s="89">
        <v>2.0</v>
      </c>
      <c r="K3" s="89">
        <v>1.0</v>
      </c>
      <c r="L3" s="90">
        <v>2.0</v>
      </c>
      <c r="M3" s="89">
        <v>1.0</v>
      </c>
      <c r="N3" s="89">
        <v>2.0</v>
      </c>
      <c r="O3" s="89">
        <v>1.0</v>
      </c>
      <c r="P3" s="89">
        <v>2.0</v>
      </c>
      <c r="Q3" s="89">
        <v>1.0</v>
      </c>
      <c r="R3" s="89">
        <v>2.0</v>
      </c>
      <c r="S3" s="89">
        <v>1.0</v>
      </c>
      <c r="T3" s="89">
        <v>2.0</v>
      </c>
      <c r="U3" s="90">
        <v>1.0</v>
      </c>
      <c r="V3" s="91"/>
      <c r="W3" s="92"/>
      <c r="X3" s="87"/>
      <c r="Y3" s="87"/>
    </row>
    <row r="4" ht="12.75" customHeight="1">
      <c r="A4" s="93" t="s">
        <v>74</v>
      </c>
      <c r="B4" s="94" t="s">
        <v>75</v>
      </c>
      <c r="C4" s="95" t="s">
        <v>76</v>
      </c>
      <c r="D4" s="96" t="s">
        <v>77</v>
      </c>
      <c r="E4" s="97"/>
      <c r="F4" s="39"/>
      <c r="G4" s="98" t="s">
        <v>78</v>
      </c>
      <c r="H4" s="13"/>
      <c r="I4" s="99" t="s">
        <v>79</v>
      </c>
      <c r="J4" s="13"/>
      <c r="K4" s="100"/>
      <c r="L4" s="101"/>
      <c r="M4" s="102" t="s">
        <v>80</v>
      </c>
      <c r="N4" s="38"/>
      <c r="O4" s="38"/>
      <c r="P4" s="38"/>
      <c r="Q4" s="38"/>
      <c r="R4" s="38"/>
      <c r="S4" s="38"/>
      <c r="T4" s="38"/>
      <c r="U4" s="40"/>
      <c r="V4" s="103"/>
      <c r="W4" s="104"/>
      <c r="X4" s="87"/>
      <c r="Y4" s="87"/>
    </row>
    <row r="5" ht="12.75" customHeight="1">
      <c r="A5" s="105"/>
      <c r="B5" s="94" t="s">
        <v>81</v>
      </c>
      <c r="C5" s="96" t="s">
        <v>77</v>
      </c>
      <c r="D5" s="95" t="s">
        <v>76</v>
      </c>
      <c r="E5" s="106"/>
      <c r="F5" s="100"/>
      <c r="G5" s="107"/>
      <c r="H5" s="107"/>
      <c r="I5" s="108"/>
      <c r="J5" s="108"/>
      <c r="K5" s="98" t="s">
        <v>78</v>
      </c>
      <c r="L5" s="16"/>
      <c r="M5" s="109" t="s">
        <v>82</v>
      </c>
      <c r="N5" s="38"/>
      <c r="O5" s="38"/>
      <c r="P5" s="38"/>
      <c r="Q5" s="38"/>
      <c r="R5" s="38"/>
      <c r="S5" s="38"/>
      <c r="T5" s="38"/>
      <c r="U5" s="40"/>
      <c r="V5" s="110"/>
      <c r="W5" s="111"/>
      <c r="X5" s="76"/>
      <c r="Y5" s="76"/>
    </row>
    <row r="6" ht="12.75" customHeight="1">
      <c r="A6" s="105"/>
      <c r="B6" s="94" t="s">
        <v>83</v>
      </c>
      <c r="C6" s="100"/>
      <c r="D6" s="100"/>
      <c r="E6" s="97" t="s">
        <v>84</v>
      </c>
      <c r="F6" s="39"/>
      <c r="G6" s="95" t="s">
        <v>76</v>
      </c>
      <c r="H6" s="96" t="s">
        <v>77</v>
      </c>
      <c r="I6" s="108"/>
      <c r="J6" s="108"/>
      <c r="K6" s="97" t="s">
        <v>85</v>
      </c>
      <c r="L6" s="40"/>
      <c r="M6" s="102" t="s">
        <v>86</v>
      </c>
      <c r="N6" s="38"/>
      <c r="O6" s="38"/>
      <c r="P6" s="38"/>
      <c r="Q6" s="38"/>
      <c r="R6" s="38"/>
      <c r="S6" s="38"/>
      <c r="T6" s="38"/>
      <c r="U6" s="40"/>
      <c r="V6" s="110"/>
      <c r="W6" s="111"/>
      <c r="X6" s="87"/>
      <c r="Y6" s="87"/>
    </row>
    <row r="7" ht="12.75" customHeight="1">
      <c r="A7" s="105"/>
      <c r="B7" s="94" t="s">
        <v>87</v>
      </c>
      <c r="C7" s="100"/>
      <c r="D7" s="100"/>
      <c r="E7" s="106"/>
      <c r="F7" s="100"/>
      <c r="G7" s="96" t="s">
        <v>77</v>
      </c>
      <c r="H7" s="95" t="s">
        <v>76</v>
      </c>
      <c r="I7" s="97" t="s">
        <v>88</v>
      </c>
      <c r="J7" s="39"/>
      <c r="K7" s="100"/>
      <c r="L7" s="112"/>
      <c r="M7" s="113" t="s">
        <v>89</v>
      </c>
      <c r="N7" s="39"/>
      <c r="O7" s="114" t="s">
        <v>90</v>
      </c>
      <c r="P7" s="39"/>
      <c r="Q7" s="97" t="s">
        <v>91</v>
      </c>
      <c r="R7" s="39"/>
      <c r="S7" s="97" t="s">
        <v>84</v>
      </c>
      <c r="T7" s="39"/>
      <c r="U7" s="115" t="s">
        <v>85</v>
      </c>
      <c r="V7" s="110"/>
      <c r="W7" s="111"/>
      <c r="X7" s="87"/>
      <c r="Y7" s="87"/>
    </row>
    <row r="8" ht="12.75" customHeight="1">
      <c r="A8" s="105"/>
      <c r="B8" s="94" t="s">
        <v>92</v>
      </c>
      <c r="C8" s="100"/>
      <c r="D8" s="100"/>
      <c r="E8" s="95" t="s">
        <v>76</v>
      </c>
      <c r="F8" s="96" t="s">
        <v>77</v>
      </c>
      <c r="G8" s="106"/>
      <c r="H8" s="100"/>
      <c r="I8" s="108"/>
      <c r="J8" s="108"/>
      <c r="K8" s="100"/>
      <c r="L8" s="112"/>
      <c r="M8" s="107"/>
      <c r="N8" s="107"/>
      <c r="O8" s="116"/>
      <c r="P8" s="116"/>
      <c r="Q8" s="107"/>
      <c r="R8" s="107"/>
      <c r="S8" s="107"/>
      <c r="T8" s="107"/>
      <c r="U8" s="101"/>
      <c r="V8" s="110"/>
      <c r="W8" s="111"/>
      <c r="X8" s="76"/>
      <c r="Y8" s="76"/>
    </row>
    <row r="9" ht="10.5" customHeight="1">
      <c r="A9" s="105"/>
      <c r="B9" s="94" t="s">
        <v>93</v>
      </c>
      <c r="C9" s="100"/>
      <c r="D9" s="100"/>
      <c r="E9" s="96" t="s">
        <v>77</v>
      </c>
      <c r="F9" s="95" t="s">
        <v>76</v>
      </c>
      <c r="G9" s="106"/>
      <c r="H9" s="100"/>
      <c r="I9" s="108"/>
      <c r="J9" s="108"/>
      <c r="K9" s="100"/>
      <c r="L9" s="112"/>
      <c r="M9" s="117"/>
      <c r="N9" s="39"/>
      <c r="O9" s="107"/>
      <c r="P9" s="107"/>
      <c r="Q9" s="107"/>
      <c r="R9" s="107"/>
      <c r="S9" s="107"/>
      <c r="T9" s="107"/>
      <c r="U9" s="118"/>
      <c r="V9" s="110"/>
      <c r="W9" s="111"/>
      <c r="X9" s="76"/>
      <c r="Y9" s="76"/>
    </row>
    <row r="10" ht="7.5" customHeight="1">
      <c r="A10" s="105"/>
      <c r="B10" s="119" t="s">
        <v>94</v>
      </c>
      <c r="C10" s="120"/>
      <c r="D10" s="120"/>
      <c r="E10" s="120"/>
      <c r="F10" s="120"/>
      <c r="G10" s="120"/>
      <c r="H10" s="120"/>
      <c r="I10" s="120"/>
      <c r="J10" s="120"/>
      <c r="K10" s="120"/>
      <c r="L10" s="81"/>
      <c r="M10" s="120"/>
      <c r="N10" s="120"/>
      <c r="O10" s="120"/>
      <c r="P10" s="120"/>
      <c r="Q10" s="120"/>
      <c r="R10" s="120"/>
      <c r="S10" s="120"/>
      <c r="T10" s="120"/>
      <c r="U10" s="81"/>
      <c r="V10" s="121"/>
      <c r="W10" s="122"/>
      <c r="X10" s="76"/>
      <c r="Y10" s="76"/>
    </row>
    <row r="11" ht="6.0" customHeight="1">
      <c r="A11" s="123"/>
      <c r="B11" s="92"/>
      <c r="C11" s="124"/>
      <c r="D11" s="124"/>
      <c r="E11" s="124"/>
      <c r="F11" s="124"/>
      <c r="G11" s="124"/>
      <c r="H11" s="124"/>
      <c r="I11" s="124"/>
      <c r="J11" s="124"/>
      <c r="K11" s="124"/>
      <c r="L11" s="92"/>
      <c r="M11" s="124"/>
      <c r="N11" s="124"/>
      <c r="O11" s="124"/>
      <c r="P11" s="124"/>
      <c r="Q11" s="124"/>
      <c r="R11" s="124"/>
      <c r="S11" s="124"/>
      <c r="T11" s="124"/>
      <c r="U11" s="92"/>
      <c r="V11" s="124"/>
      <c r="W11" s="92"/>
      <c r="X11" s="76"/>
      <c r="Y11" s="76"/>
    </row>
    <row r="12" ht="12.75" customHeight="1">
      <c r="A12" s="93" t="s">
        <v>95</v>
      </c>
      <c r="B12" s="94" t="s">
        <v>75</v>
      </c>
      <c r="C12" s="109" t="s">
        <v>96</v>
      </c>
      <c r="D12" s="38"/>
      <c r="E12" s="38"/>
      <c r="F12" s="38"/>
      <c r="G12" s="38"/>
      <c r="H12" s="38"/>
      <c r="I12" s="38"/>
      <c r="J12" s="38"/>
      <c r="K12" s="38"/>
      <c r="L12" s="40"/>
      <c r="M12" s="108"/>
      <c r="N12" s="107"/>
      <c r="O12" s="98" t="s">
        <v>97</v>
      </c>
      <c r="P12" s="13"/>
      <c r="Q12" s="98" t="s">
        <v>98</v>
      </c>
      <c r="R12" s="13"/>
      <c r="S12" s="95" t="s">
        <v>76</v>
      </c>
      <c r="T12" s="125"/>
      <c r="U12" s="126"/>
      <c r="V12" s="103"/>
      <c r="W12" s="104"/>
    </row>
    <row r="13" ht="12.75" customHeight="1">
      <c r="A13" s="105"/>
      <c r="B13" s="94" t="s">
        <v>81</v>
      </c>
      <c r="C13" s="109" t="s">
        <v>99</v>
      </c>
      <c r="D13" s="38"/>
      <c r="E13" s="38"/>
      <c r="F13" s="38"/>
      <c r="G13" s="38"/>
      <c r="H13" s="38"/>
      <c r="I13" s="38"/>
      <c r="J13" s="38"/>
      <c r="K13" s="38"/>
      <c r="L13" s="40"/>
      <c r="M13" s="127" t="s">
        <v>98</v>
      </c>
      <c r="N13" s="13"/>
      <c r="O13" s="98" t="s">
        <v>100</v>
      </c>
      <c r="P13" s="13"/>
      <c r="Q13" s="98" t="s">
        <v>101</v>
      </c>
      <c r="R13" s="13"/>
      <c r="S13" s="96" t="s">
        <v>77</v>
      </c>
      <c r="T13" s="95" t="s">
        <v>76</v>
      </c>
      <c r="U13" s="115"/>
      <c r="V13" s="110"/>
      <c r="W13" s="111"/>
    </row>
    <row r="14" ht="12.75" customHeight="1">
      <c r="A14" s="105"/>
      <c r="B14" s="94" t="s">
        <v>83</v>
      </c>
      <c r="C14" s="109" t="s">
        <v>102</v>
      </c>
      <c r="D14" s="38"/>
      <c r="E14" s="38"/>
      <c r="F14" s="38"/>
      <c r="G14" s="38"/>
      <c r="H14" s="38"/>
      <c r="I14" s="38"/>
      <c r="J14" s="38"/>
      <c r="K14" s="38"/>
      <c r="L14" s="40"/>
      <c r="M14" s="98" t="s">
        <v>103</v>
      </c>
      <c r="N14" s="13"/>
      <c r="O14" s="98" t="s">
        <v>104</v>
      </c>
      <c r="P14" s="13"/>
      <c r="Q14" s="98" t="s">
        <v>105</v>
      </c>
      <c r="R14" s="13"/>
      <c r="S14" s="125"/>
      <c r="T14" s="96" t="s">
        <v>77</v>
      </c>
      <c r="U14" s="128" t="s">
        <v>76</v>
      </c>
      <c r="V14" s="110"/>
      <c r="W14" s="111"/>
    </row>
    <row r="15" ht="12.75" customHeight="1">
      <c r="A15" s="105"/>
      <c r="B15" s="94" t="s">
        <v>87</v>
      </c>
      <c r="C15" s="113" t="s">
        <v>106</v>
      </c>
      <c r="D15" s="39"/>
      <c r="E15" s="107"/>
      <c r="F15" s="107"/>
      <c r="G15" s="114" t="s">
        <v>107</v>
      </c>
      <c r="H15" s="39"/>
      <c r="I15" s="98" t="s">
        <v>108</v>
      </c>
      <c r="J15" s="13"/>
      <c r="K15" s="108"/>
      <c r="L15" s="126"/>
      <c r="M15" s="127" t="s">
        <v>105</v>
      </c>
      <c r="N15" s="13"/>
      <c r="O15" s="125"/>
      <c r="P15" s="125"/>
      <c r="Q15" s="98"/>
      <c r="R15" s="13"/>
      <c r="S15" s="125"/>
      <c r="T15" s="125"/>
      <c r="U15" s="129" t="s">
        <v>77</v>
      </c>
      <c r="V15" s="103"/>
      <c r="W15" s="104"/>
    </row>
    <row r="16" ht="12.75" customHeight="1">
      <c r="A16" s="105"/>
      <c r="B16" s="94" t="s">
        <v>92</v>
      </c>
      <c r="C16" s="107"/>
      <c r="D16" s="107"/>
      <c r="E16" s="114" t="s">
        <v>109</v>
      </c>
      <c r="F16" s="39"/>
      <c r="G16" s="108"/>
      <c r="H16" s="108"/>
      <c r="I16" s="108"/>
      <c r="J16" s="108"/>
      <c r="K16" s="113" t="s">
        <v>106</v>
      </c>
      <c r="L16" s="40"/>
      <c r="M16" s="107"/>
      <c r="N16" s="107"/>
      <c r="O16" s="99" t="s">
        <v>79</v>
      </c>
      <c r="P16" s="13"/>
      <c r="Q16" s="97"/>
      <c r="R16" s="39"/>
      <c r="S16" s="108"/>
      <c r="T16" s="108"/>
      <c r="U16" s="126"/>
      <c r="V16" s="103"/>
      <c r="W16" s="104"/>
    </row>
    <row r="17" ht="10.5" customHeight="1">
      <c r="A17" s="105"/>
      <c r="B17" s="130" t="s">
        <v>93</v>
      </c>
      <c r="C17" s="131"/>
      <c r="D17" s="107"/>
      <c r="E17" s="107"/>
      <c r="F17" s="107"/>
      <c r="G17" s="107"/>
      <c r="H17" s="107"/>
      <c r="I17" s="107"/>
      <c r="J17" s="107"/>
      <c r="K17" s="132"/>
      <c r="L17" s="40"/>
      <c r="M17" s="107"/>
      <c r="N17" s="107"/>
      <c r="O17" s="125"/>
      <c r="P17" s="125"/>
      <c r="Q17" s="125"/>
      <c r="R17" s="125"/>
      <c r="S17" s="108"/>
      <c r="T17" s="108"/>
      <c r="U17" s="133"/>
      <c r="V17" s="110"/>
      <c r="W17" s="111"/>
    </row>
    <row r="18" ht="7.5" customHeight="1">
      <c r="A18" s="105"/>
      <c r="B18" s="119" t="s">
        <v>94</v>
      </c>
      <c r="C18" s="120"/>
      <c r="D18" s="120"/>
      <c r="E18" s="120"/>
      <c r="F18" s="120"/>
      <c r="G18" s="120"/>
      <c r="H18" s="120"/>
      <c r="I18" s="120"/>
      <c r="J18" s="120"/>
      <c r="K18" s="120"/>
      <c r="L18" s="81"/>
      <c r="M18" s="134"/>
      <c r="N18" s="134"/>
      <c r="O18" s="134"/>
      <c r="P18" s="134"/>
      <c r="Q18" s="134"/>
      <c r="R18" s="134"/>
      <c r="S18" s="134"/>
      <c r="T18" s="134"/>
      <c r="U18" s="135"/>
      <c r="V18" s="121"/>
      <c r="W18" s="122"/>
    </row>
    <row r="19" ht="6.0" customHeight="1">
      <c r="A19" s="123"/>
      <c r="B19" s="40"/>
      <c r="C19" s="124"/>
      <c r="D19" s="124"/>
      <c r="E19" s="124"/>
      <c r="F19" s="124"/>
      <c r="G19" s="124"/>
      <c r="H19" s="124"/>
      <c r="I19" s="124"/>
      <c r="J19" s="124"/>
      <c r="K19" s="124"/>
      <c r="L19" s="92"/>
      <c r="M19" s="124"/>
      <c r="N19" s="124"/>
      <c r="O19" s="124"/>
      <c r="P19" s="124"/>
      <c r="Q19" s="124"/>
      <c r="R19" s="124"/>
      <c r="S19" s="124"/>
      <c r="T19" s="124"/>
      <c r="U19" s="92"/>
      <c r="V19" s="124"/>
      <c r="W19" s="92"/>
    </row>
    <row r="20" ht="12.75" customHeight="1">
      <c r="A20" s="93" t="s">
        <v>110</v>
      </c>
      <c r="B20" s="136" t="s">
        <v>75</v>
      </c>
      <c r="C20" s="137"/>
      <c r="D20" s="138"/>
      <c r="E20" s="138"/>
      <c r="F20" s="138"/>
      <c r="G20" s="139"/>
      <c r="H20" s="139"/>
      <c r="I20" s="98" t="s">
        <v>111</v>
      </c>
      <c r="J20" s="13"/>
      <c r="K20" s="99" t="s">
        <v>79</v>
      </c>
      <c r="L20" s="16"/>
      <c r="M20" s="140" t="s">
        <v>76</v>
      </c>
      <c r="N20" s="96" t="s">
        <v>77</v>
      </c>
      <c r="O20" s="138"/>
      <c r="P20" s="138"/>
      <c r="Q20" s="138"/>
      <c r="R20" s="138"/>
      <c r="S20" s="138"/>
      <c r="T20" s="138"/>
      <c r="U20" s="133"/>
      <c r="V20" s="103"/>
      <c r="W20" s="104"/>
    </row>
    <row r="21" ht="12.75" customHeight="1">
      <c r="A21" s="105"/>
      <c r="B21" s="136" t="s">
        <v>81</v>
      </c>
      <c r="C21" s="141"/>
      <c r="D21" s="142"/>
      <c r="E21" s="142"/>
      <c r="F21" s="142"/>
      <c r="G21" s="99" t="s">
        <v>79</v>
      </c>
      <c r="H21" s="13"/>
      <c r="K21" s="98" t="s">
        <v>111</v>
      </c>
      <c r="L21" s="16"/>
      <c r="M21" s="143" t="s">
        <v>77</v>
      </c>
      <c r="N21" s="95" t="s">
        <v>76</v>
      </c>
      <c r="O21" s="125"/>
      <c r="P21" s="125"/>
      <c r="Q21" s="125"/>
      <c r="R21" s="125"/>
      <c r="S21" s="125"/>
      <c r="T21" s="125"/>
      <c r="U21" s="144" t="s">
        <v>97</v>
      </c>
      <c r="V21" s="110"/>
      <c r="W21" s="111"/>
    </row>
    <row r="22" ht="11.25" customHeight="1">
      <c r="A22" s="105"/>
      <c r="B22" s="136" t="s">
        <v>83</v>
      </c>
      <c r="C22" s="141"/>
      <c r="D22" s="142"/>
      <c r="E22" s="142"/>
      <c r="F22" s="142"/>
      <c r="G22" s="98" t="s">
        <v>111</v>
      </c>
      <c r="H22" s="13"/>
      <c r="I22" s="142"/>
      <c r="J22" s="142"/>
      <c r="K22" s="142"/>
      <c r="L22" s="145"/>
      <c r="M22" s="125"/>
      <c r="N22" s="125"/>
      <c r="O22" s="95" t="s">
        <v>76</v>
      </c>
      <c r="P22" s="96" t="s">
        <v>77</v>
      </c>
      <c r="Q22" s="99" t="s">
        <v>79</v>
      </c>
      <c r="R22" s="13"/>
      <c r="S22" s="98" t="s">
        <v>97</v>
      </c>
      <c r="T22" s="13"/>
      <c r="U22" s="133"/>
      <c r="V22" s="110"/>
      <c r="W22" s="111"/>
    </row>
    <row r="23" ht="12.75" customHeight="1">
      <c r="A23" s="105"/>
      <c r="B23" s="136" t="s">
        <v>87</v>
      </c>
      <c r="C23" s="141"/>
      <c r="D23" s="142"/>
      <c r="E23" s="142"/>
      <c r="F23" s="142"/>
      <c r="G23" s="142"/>
      <c r="H23" s="142"/>
      <c r="I23" s="142"/>
      <c r="J23" s="142"/>
      <c r="K23" s="146"/>
      <c r="L23" s="147"/>
      <c r="M23" s="125"/>
      <c r="N23" s="125"/>
      <c r="O23" s="96" t="s">
        <v>77</v>
      </c>
      <c r="P23" s="95" t="s">
        <v>76</v>
      </c>
      <c r="Q23" s="125"/>
      <c r="R23" s="125"/>
      <c r="S23" s="125"/>
      <c r="T23" s="125"/>
      <c r="U23" s="133"/>
      <c r="V23" s="103"/>
      <c r="W23" s="104"/>
    </row>
    <row r="24" ht="12.75" customHeight="1">
      <c r="A24" s="105"/>
      <c r="B24" s="136" t="s">
        <v>92</v>
      </c>
      <c r="C24" s="148" t="s">
        <v>97</v>
      </c>
      <c r="D24" s="13"/>
      <c r="E24" s="98" t="s">
        <v>111</v>
      </c>
      <c r="F24" s="13"/>
      <c r="G24" s="142"/>
      <c r="H24" s="142"/>
      <c r="I24" s="142"/>
      <c r="J24" s="142"/>
      <c r="K24" s="142"/>
      <c r="L24" s="145"/>
      <c r="M24" s="125"/>
      <c r="N24" s="125"/>
      <c r="O24" s="125"/>
      <c r="P24" s="125"/>
      <c r="Q24" s="95" t="s">
        <v>76</v>
      </c>
      <c r="R24" s="96" t="s">
        <v>77</v>
      </c>
      <c r="S24" s="99" t="s">
        <v>79</v>
      </c>
      <c r="T24" s="13"/>
      <c r="U24" s="133"/>
      <c r="V24" s="149" t="s">
        <v>112</v>
      </c>
      <c r="W24" s="104"/>
    </row>
    <row r="25" ht="12.75" customHeight="1">
      <c r="A25" s="105"/>
      <c r="B25" s="136" t="s">
        <v>93</v>
      </c>
      <c r="C25" s="150"/>
      <c r="D25" s="146"/>
      <c r="E25" s="151" t="s">
        <v>97</v>
      </c>
      <c r="F25" s="13"/>
      <c r="G25" s="146"/>
      <c r="H25" s="146"/>
      <c r="I25" s="142"/>
      <c r="J25" s="142"/>
      <c r="K25" s="146"/>
      <c r="L25" s="147"/>
      <c r="M25" s="125"/>
      <c r="N25" s="125"/>
      <c r="O25" s="125"/>
      <c r="P25" s="125"/>
      <c r="Q25" s="96" t="s">
        <v>77</v>
      </c>
      <c r="R25" s="95" t="s">
        <v>76</v>
      </c>
      <c r="S25" s="125"/>
      <c r="T25" s="125"/>
      <c r="U25" s="133"/>
      <c r="V25" s="110"/>
      <c r="W25" s="152" t="s">
        <v>112</v>
      </c>
    </row>
    <row r="26" ht="13.5" customHeight="1">
      <c r="A26" s="123"/>
      <c r="B26" s="153" t="s">
        <v>94</v>
      </c>
      <c r="C26" s="154" t="s">
        <v>113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7"/>
    </row>
    <row r="27" ht="12.75" customHeight="1">
      <c r="A27" s="93" t="s">
        <v>114</v>
      </c>
      <c r="B27" s="94" t="s">
        <v>75</v>
      </c>
      <c r="C27" s="108"/>
      <c r="D27" s="100"/>
      <c r="E27" s="98" t="s">
        <v>115</v>
      </c>
      <c r="F27" s="13"/>
      <c r="G27" s="100"/>
      <c r="H27" s="100"/>
      <c r="I27" s="100"/>
      <c r="J27" s="100"/>
      <c r="K27" s="100"/>
      <c r="L27" s="101"/>
      <c r="M27" s="102" t="s">
        <v>116</v>
      </c>
      <c r="N27" s="38"/>
      <c r="O27" s="38"/>
      <c r="P27" s="38"/>
      <c r="Q27" s="38"/>
      <c r="R27" s="38"/>
      <c r="S27" s="38"/>
      <c r="T27" s="38"/>
      <c r="U27" s="40"/>
      <c r="V27" s="103"/>
      <c r="W27" s="104"/>
    </row>
    <row r="28" ht="12.75" customHeight="1">
      <c r="A28" s="105"/>
      <c r="B28" s="94" t="s">
        <v>81</v>
      </c>
      <c r="C28" s="150"/>
      <c r="D28" s="146"/>
      <c r="E28" s="100"/>
      <c r="F28" s="100"/>
      <c r="G28" s="97" t="s">
        <v>117</v>
      </c>
      <c r="H28" s="39"/>
      <c r="I28" s="97"/>
      <c r="J28" s="39"/>
      <c r="K28" s="142"/>
      <c r="L28" s="145"/>
      <c r="M28" s="102" t="s">
        <v>118</v>
      </c>
      <c r="N28" s="38"/>
      <c r="O28" s="38"/>
      <c r="P28" s="38"/>
      <c r="Q28" s="38"/>
      <c r="R28" s="38"/>
      <c r="S28" s="38"/>
      <c r="T28" s="38"/>
      <c r="U28" s="40"/>
      <c r="V28" s="155"/>
      <c r="W28" s="111"/>
    </row>
    <row r="29" ht="12.75" customHeight="1">
      <c r="A29" s="105"/>
      <c r="B29" s="94" t="s">
        <v>83</v>
      </c>
      <c r="C29" s="97" t="s">
        <v>119</v>
      </c>
      <c r="D29" s="39"/>
      <c r="E29" s="100"/>
      <c r="F29" s="100"/>
      <c r="G29" s="100"/>
      <c r="H29" s="100"/>
      <c r="I29" s="114" t="s">
        <v>120</v>
      </c>
      <c r="J29" s="39"/>
      <c r="K29" s="142"/>
      <c r="L29" s="145"/>
      <c r="M29" s="109" t="s">
        <v>121</v>
      </c>
      <c r="N29" s="38"/>
      <c r="O29" s="38"/>
      <c r="P29" s="38"/>
      <c r="Q29" s="38"/>
      <c r="R29" s="38"/>
      <c r="S29" s="38"/>
      <c r="T29" s="38"/>
      <c r="U29" s="40"/>
      <c r="V29" s="103"/>
      <c r="W29" s="104"/>
    </row>
    <row r="30" ht="12.0" customHeight="1">
      <c r="A30" s="105"/>
      <c r="B30" s="94" t="s">
        <v>87</v>
      </c>
      <c r="C30" s="109" t="s">
        <v>122</v>
      </c>
      <c r="D30" s="38"/>
      <c r="E30" s="38"/>
      <c r="F30" s="38"/>
      <c r="G30" s="38"/>
      <c r="H30" s="38"/>
      <c r="I30" s="38"/>
      <c r="J30" s="38"/>
      <c r="K30" s="38"/>
      <c r="L30" s="40"/>
      <c r="M30" s="97" t="s">
        <v>91</v>
      </c>
      <c r="N30" s="39"/>
      <c r="O30" s="97" t="s">
        <v>117</v>
      </c>
      <c r="P30" s="39"/>
      <c r="Q30" s="113" t="s">
        <v>106</v>
      </c>
      <c r="R30" s="39"/>
      <c r="S30" s="114" t="s">
        <v>107</v>
      </c>
      <c r="T30" s="39"/>
      <c r="U30" s="112"/>
      <c r="V30" s="103"/>
      <c r="W30" s="156"/>
    </row>
    <row r="31" ht="12.75" customHeight="1">
      <c r="A31" s="105"/>
      <c r="B31" s="94" t="s">
        <v>92</v>
      </c>
      <c r="C31" s="157" t="s">
        <v>123</v>
      </c>
      <c r="D31" s="38"/>
      <c r="E31" s="38"/>
      <c r="F31" s="38"/>
      <c r="G31" s="38"/>
      <c r="H31" s="38"/>
      <c r="I31" s="38"/>
      <c r="J31" s="38"/>
      <c r="K31" s="38"/>
      <c r="L31" s="40"/>
      <c r="M31" s="99" t="s">
        <v>79</v>
      </c>
      <c r="N31" s="13"/>
      <c r="O31" s="100"/>
      <c r="P31" s="100"/>
      <c r="Q31" s="100"/>
      <c r="R31" s="100"/>
      <c r="S31" s="100"/>
      <c r="T31" s="100"/>
      <c r="U31" s="158" t="s">
        <v>106</v>
      </c>
      <c r="V31" s="159" t="s">
        <v>107</v>
      </c>
      <c r="W31" s="40"/>
    </row>
    <row r="32" ht="12.75" customHeight="1">
      <c r="A32" s="105"/>
      <c r="B32" s="94" t="s">
        <v>93</v>
      </c>
      <c r="C32" s="160" t="s">
        <v>124</v>
      </c>
      <c r="D32" s="38"/>
      <c r="E32" s="38"/>
      <c r="F32" s="38"/>
      <c r="G32" s="38"/>
      <c r="H32" s="38"/>
      <c r="I32" s="38"/>
      <c r="J32" s="38"/>
      <c r="K32" s="38"/>
      <c r="L32" s="40"/>
      <c r="M32" s="100"/>
      <c r="N32" s="100"/>
      <c r="O32" s="100"/>
      <c r="P32" s="100"/>
      <c r="Q32" s="100"/>
      <c r="R32" s="100"/>
      <c r="S32" s="100"/>
      <c r="T32" s="100"/>
      <c r="U32" s="112"/>
      <c r="V32" s="103"/>
      <c r="W32" s="104"/>
    </row>
    <row r="33" ht="12.0" customHeight="1">
      <c r="A33" s="123"/>
      <c r="B33" s="161" t="s">
        <v>94</v>
      </c>
      <c r="C33" s="162"/>
      <c r="D33" s="162"/>
      <c r="E33" s="162"/>
      <c r="F33" s="162"/>
      <c r="G33" s="162"/>
      <c r="H33" s="162"/>
      <c r="I33" s="162"/>
      <c r="J33" s="162"/>
      <c r="K33" s="162"/>
      <c r="L33" s="88"/>
      <c r="M33" s="162"/>
      <c r="N33" s="162"/>
      <c r="O33" s="162"/>
      <c r="P33" s="162"/>
      <c r="Q33" s="162"/>
      <c r="R33" s="162"/>
      <c r="S33" s="162"/>
      <c r="T33" s="162"/>
      <c r="U33" s="88"/>
      <c r="V33" s="163"/>
      <c r="W33" s="164"/>
      <c r="X33" s="76"/>
      <c r="Y33" s="76"/>
    </row>
    <row r="34" ht="12.75" customHeight="1">
      <c r="A34" s="93" t="s">
        <v>125</v>
      </c>
      <c r="B34" s="94" t="s">
        <v>75</v>
      </c>
      <c r="C34" s="148" t="s">
        <v>126</v>
      </c>
      <c r="D34" s="13"/>
      <c r="E34" s="107"/>
      <c r="F34" s="107"/>
      <c r="G34" s="107"/>
      <c r="H34" s="107"/>
      <c r="I34" s="98" t="s">
        <v>127</v>
      </c>
      <c r="J34" s="13"/>
      <c r="K34" s="107"/>
      <c r="L34" s="101"/>
      <c r="M34" s="108"/>
      <c r="N34" s="107"/>
      <c r="O34" s="107"/>
      <c r="P34" s="107"/>
      <c r="Q34" s="107"/>
      <c r="R34" s="107"/>
      <c r="S34" s="98" t="s">
        <v>128</v>
      </c>
      <c r="T34" s="13"/>
      <c r="U34" s="144" t="s">
        <v>119</v>
      </c>
      <c r="V34" s="103"/>
      <c r="W34" s="104"/>
      <c r="X34" s="76"/>
      <c r="Y34" s="76"/>
    </row>
    <row r="35" ht="12.75" customHeight="1">
      <c r="A35" s="105"/>
      <c r="B35" s="94" t="s">
        <v>81</v>
      </c>
      <c r="C35" s="97" t="s">
        <v>84</v>
      </c>
      <c r="D35" s="39"/>
      <c r="E35" s="107"/>
      <c r="F35" s="107"/>
      <c r="G35" s="107"/>
      <c r="H35" s="165"/>
      <c r="I35" s="165"/>
      <c r="J35" s="165"/>
      <c r="K35" s="98" t="s">
        <v>127</v>
      </c>
      <c r="L35" s="16"/>
      <c r="M35" s="100"/>
      <c r="N35" s="100"/>
      <c r="O35" s="100"/>
      <c r="P35" s="100"/>
      <c r="Q35" s="107"/>
      <c r="R35" s="107"/>
      <c r="S35" s="98" t="s">
        <v>119</v>
      </c>
      <c r="T35" s="13"/>
      <c r="U35" s="144" t="s">
        <v>128</v>
      </c>
      <c r="V35" s="110"/>
      <c r="W35" s="111"/>
      <c r="X35" s="76"/>
      <c r="Y35" s="76"/>
    </row>
    <row r="36" ht="12.75" customHeight="1">
      <c r="A36" s="105"/>
      <c r="B36" s="94" t="s">
        <v>83</v>
      </c>
      <c r="C36" s="100"/>
      <c r="D36" s="100"/>
      <c r="E36" s="100"/>
      <c r="F36" s="100"/>
      <c r="G36" s="98" t="s">
        <v>127</v>
      </c>
      <c r="H36" s="13"/>
      <c r="I36" s="95" t="s">
        <v>76</v>
      </c>
      <c r="J36" s="96" t="s">
        <v>77</v>
      </c>
      <c r="K36" s="142"/>
      <c r="L36" s="145"/>
      <c r="M36" s="100"/>
      <c r="N36" s="100"/>
      <c r="O36" s="100"/>
      <c r="P36" s="100"/>
      <c r="Q36" s="108"/>
      <c r="R36" s="165"/>
      <c r="S36" s="100"/>
      <c r="T36" s="100"/>
      <c r="U36" s="166" t="s">
        <v>129</v>
      </c>
      <c r="V36" s="110"/>
      <c r="W36" s="111"/>
      <c r="X36" s="87"/>
      <c r="Y36" s="87"/>
    </row>
    <row r="37" ht="12.75" customHeight="1">
      <c r="A37" s="105"/>
      <c r="B37" s="94" t="s">
        <v>87</v>
      </c>
      <c r="C37" s="99" t="s">
        <v>79</v>
      </c>
      <c r="D37" s="13"/>
      <c r="E37" s="100"/>
      <c r="F37" s="100"/>
      <c r="G37" s="107"/>
      <c r="H37" s="107"/>
      <c r="I37" s="96" t="s">
        <v>77</v>
      </c>
      <c r="J37" s="95" t="s">
        <v>76</v>
      </c>
      <c r="K37" s="142"/>
      <c r="L37" s="145"/>
      <c r="M37" s="100"/>
      <c r="N37" s="100"/>
      <c r="O37" s="100"/>
      <c r="P37" s="100"/>
      <c r="Q37" s="107"/>
      <c r="R37" s="107"/>
      <c r="S37" s="100"/>
      <c r="T37" s="100"/>
      <c r="U37" s="112"/>
      <c r="V37" s="103"/>
      <c r="W37" s="104"/>
      <c r="X37" s="76"/>
      <c r="Y37" s="76"/>
    </row>
    <row r="38" ht="12.75" customHeight="1">
      <c r="A38" s="105"/>
      <c r="B38" s="94" t="s">
        <v>92</v>
      </c>
      <c r="C38" s="100"/>
      <c r="D38" s="100"/>
      <c r="E38" s="99" t="s">
        <v>79</v>
      </c>
      <c r="F38" s="13"/>
      <c r="G38" s="100"/>
      <c r="H38" s="100"/>
      <c r="I38" s="125"/>
      <c r="J38" s="125"/>
      <c r="K38" s="95" t="s">
        <v>76</v>
      </c>
      <c r="L38" s="129" t="s">
        <v>77</v>
      </c>
      <c r="M38" s="100"/>
      <c r="N38" s="100"/>
      <c r="O38" s="100"/>
      <c r="P38" s="100"/>
      <c r="Q38" s="100"/>
      <c r="R38" s="100"/>
      <c r="S38" s="100"/>
      <c r="T38" s="100"/>
      <c r="U38" s="112"/>
      <c r="V38" s="103"/>
      <c r="W38" s="104"/>
      <c r="X38" s="76"/>
      <c r="Y38" s="76"/>
    </row>
    <row r="39" ht="12.75" customHeight="1">
      <c r="A39" s="105"/>
      <c r="B39" s="94" t="s">
        <v>93</v>
      </c>
      <c r="C39" s="100"/>
      <c r="D39" s="100"/>
      <c r="E39" s="100"/>
      <c r="F39" s="100"/>
      <c r="G39" s="100"/>
      <c r="H39" s="100"/>
      <c r="I39" s="125"/>
      <c r="J39" s="125"/>
      <c r="K39" s="96" t="s">
        <v>77</v>
      </c>
      <c r="L39" s="128" t="s">
        <v>76</v>
      </c>
      <c r="M39" s="100"/>
      <c r="N39" s="100"/>
      <c r="O39" s="100"/>
      <c r="P39" s="100"/>
      <c r="Q39" s="100"/>
      <c r="R39" s="100"/>
      <c r="S39" s="100"/>
      <c r="T39" s="100"/>
      <c r="U39" s="112"/>
      <c r="V39" s="103"/>
      <c r="W39" s="104"/>
      <c r="X39" s="76"/>
      <c r="Y39" s="76"/>
    </row>
    <row r="40" ht="12.75" customHeight="1">
      <c r="A40" s="123"/>
      <c r="B40" s="161" t="s">
        <v>94</v>
      </c>
      <c r="C40" s="162"/>
      <c r="D40" s="162"/>
      <c r="E40" s="162"/>
      <c r="F40" s="162"/>
      <c r="G40" s="162"/>
      <c r="H40" s="162"/>
      <c r="I40" s="162"/>
      <c r="J40" s="162"/>
      <c r="K40" s="162"/>
      <c r="L40" s="88"/>
      <c r="M40" s="162"/>
      <c r="N40" s="162"/>
      <c r="O40" s="162"/>
      <c r="P40" s="162"/>
      <c r="Q40" s="162"/>
      <c r="R40" s="162"/>
      <c r="S40" s="162"/>
      <c r="T40" s="162"/>
      <c r="U40" s="88"/>
      <c r="V40" s="163"/>
      <c r="W40" s="164"/>
      <c r="X40" s="76"/>
      <c r="Y40" s="76"/>
    </row>
    <row r="41" ht="15.0" customHeight="1">
      <c r="A41" s="76"/>
      <c r="B41" s="167" t="s">
        <v>130</v>
      </c>
      <c r="W41" s="168"/>
      <c r="X41" s="87"/>
      <c r="Y41" s="87"/>
    </row>
    <row r="42" ht="14.25" customHeight="1">
      <c r="A42" s="76"/>
      <c r="B42" s="169" t="s">
        <v>131</v>
      </c>
      <c r="C42" s="170"/>
      <c r="D42" s="170"/>
      <c r="E42" s="170"/>
      <c r="F42" s="76"/>
      <c r="G42" s="76"/>
      <c r="H42" s="76"/>
      <c r="K42" s="171" t="s">
        <v>132</v>
      </c>
    </row>
    <row r="43" ht="14.25" customHeight="1">
      <c r="A43" s="76"/>
      <c r="B43" s="76"/>
      <c r="F43" s="76"/>
      <c r="G43" s="76"/>
      <c r="H43" s="76"/>
      <c r="I43" s="76"/>
      <c r="X43" s="76"/>
      <c r="Y43" s="76"/>
    </row>
    <row r="44" ht="15.75" customHeight="1">
      <c r="A44" s="76"/>
      <c r="B44" s="76"/>
      <c r="C44" s="172">
        <v>45940.0</v>
      </c>
      <c r="F44" s="76"/>
      <c r="G44" s="76"/>
      <c r="H44" s="76"/>
      <c r="I44" s="76"/>
      <c r="V44" s="173"/>
      <c r="W44" s="173"/>
    </row>
    <row r="45" ht="15.75" customHeight="1">
      <c r="A45" s="76"/>
      <c r="B45" s="76"/>
      <c r="C45" s="174"/>
      <c r="D45" s="175"/>
      <c r="E45" s="170"/>
      <c r="F45" s="76"/>
      <c r="W45" s="176"/>
      <c r="X45" s="76"/>
      <c r="Y45" s="76"/>
    </row>
    <row r="46" ht="15.75" customHeight="1">
      <c r="A46" s="76"/>
      <c r="B46" s="76"/>
      <c r="C46" s="175"/>
      <c r="E46" s="170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176"/>
      <c r="W46" s="176"/>
      <c r="X46" s="76"/>
      <c r="Y46" s="76"/>
    </row>
  </sheetData>
  <mergeCells count="138">
    <mergeCell ref="O2:P2"/>
    <mergeCell ref="Q2:R2"/>
    <mergeCell ref="S2:T2"/>
    <mergeCell ref="V2:W3"/>
    <mergeCell ref="E2:F2"/>
    <mergeCell ref="E4:F4"/>
    <mergeCell ref="G4:H4"/>
    <mergeCell ref="I4:J4"/>
    <mergeCell ref="M4:U4"/>
    <mergeCell ref="M5:U5"/>
    <mergeCell ref="M6:U6"/>
    <mergeCell ref="K5:L5"/>
    <mergeCell ref="E6:F6"/>
    <mergeCell ref="K6:L6"/>
    <mergeCell ref="I7:J7"/>
    <mergeCell ref="M7:N7"/>
    <mergeCell ref="O7:P7"/>
    <mergeCell ref="Q7:R7"/>
    <mergeCell ref="S7:T7"/>
    <mergeCell ref="H10:H11"/>
    <mergeCell ref="I10:I11"/>
    <mergeCell ref="S10:S11"/>
    <mergeCell ref="T10:T11"/>
    <mergeCell ref="U10:U11"/>
    <mergeCell ref="V10:V11"/>
    <mergeCell ref="W10:W11"/>
    <mergeCell ref="D10:D11"/>
    <mergeCell ref="C15:D15"/>
    <mergeCell ref="F18:F19"/>
    <mergeCell ref="G18:G19"/>
    <mergeCell ref="A4:A11"/>
    <mergeCell ref="B10:B11"/>
    <mergeCell ref="C10:C11"/>
    <mergeCell ref="E10:E11"/>
    <mergeCell ref="F10:F11"/>
    <mergeCell ref="G10:G11"/>
    <mergeCell ref="A12:A19"/>
    <mergeCell ref="E27:F27"/>
    <mergeCell ref="C29:D29"/>
    <mergeCell ref="C24:D24"/>
    <mergeCell ref="C34:D34"/>
    <mergeCell ref="C35:D35"/>
    <mergeCell ref="C37:D37"/>
    <mergeCell ref="C46:D46"/>
    <mergeCell ref="D18:D19"/>
    <mergeCell ref="E18:E19"/>
    <mergeCell ref="A20:A26"/>
    <mergeCell ref="E24:F24"/>
    <mergeCell ref="E25:F25"/>
    <mergeCell ref="A27:A33"/>
    <mergeCell ref="A34:A40"/>
    <mergeCell ref="E38:F38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S22:T22"/>
    <mergeCell ref="S24:T24"/>
    <mergeCell ref="C26:W26"/>
    <mergeCell ref="M30:N30"/>
    <mergeCell ref="O30:P30"/>
    <mergeCell ref="I34:J34"/>
    <mergeCell ref="K35:L35"/>
    <mergeCell ref="G36:H36"/>
    <mergeCell ref="B41:V41"/>
    <mergeCell ref="K42:W43"/>
    <mergeCell ref="C44:E44"/>
    <mergeCell ref="Q30:R30"/>
    <mergeCell ref="S30:T30"/>
    <mergeCell ref="S34:T34"/>
    <mergeCell ref="S35:T35"/>
    <mergeCell ref="C31:L31"/>
    <mergeCell ref="M31:N31"/>
    <mergeCell ref="V31:W31"/>
    <mergeCell ref="C32:L32"/>
    <mergeCell ref="M27:U27"/>
    <mergeCell ref="G28:H28"/>
    <mergeCell ref="I28:J28"/>
    <mergeCell ref="M28:U28"/>
    <mergeCell ref="I29:J29"/>
    <mergeCell ref="M29:U29"/>
    <mergeCell ref="C30:L30"/>
    <mergeCell ref="B1:R1"/>
    <mergeCell ref="C2:D2"/>
    <mergeCell ref="G2:H2"/>
    <mergeCell ref="I2:J2"/>
    <mergeCell ref="K2:L2"/>
    <mergeCell ref="M2:N2"/>
    <mergeCell ref="M9:N9"/>
    <mergeCell ref="Q10:Q11"/>
    <mergeCell ref="R10:R11"/>
    <mergeCell ref="J10:J11"/>
    <mergeCell ref="K10:K11"/>
    <mergeCell ref="L10:L11"/>
    <mergeCell ref="M10:M11"/>
    <mergeCell ref="N10:N11"/>
    <mergeCell ref="O10:O11"/>
    <mergeCell ref="P10:P11"/>
    <mergeCell ref="C14:L14"/>
    <mergeCell ref="M14:N14"/>
    <mergeCell ref="O14:P14"/>
    <mergeCell ref="Q14:R14"/>
    <mergeCell ref="I15:J15"/>
    <mergeCell ref="M15:N15"/>
    <mergeCell ref="Q15:R15"/>
    <mergeCell ref="C12:L12"/>
    <mergeCell ref="O12:P12"/>
    <mergeCell ref="Q12:R12"/>
    <mergeCell ref="C13:L13"/>
    <mergeCell ref="M13:N13"/>
    <mergeCell ref="O13:P13"/>
    <mergeCell ref="Q13:R13"/>
    <mergeCell ref="G15:H15"/>
    <mergeCell ref="E16:F16"/>
    <mergeCell ref="K16:L16"/>
    <mergeCell ref="O16:P16"/>
    <mergeCell ref="Q16:R16"/>
    <mergeCell ref="K17:L17"/>
    <mergeCell ref="I20:J20"/>
    <mergeCell ref="K20:L20"/>
    <mergeCell ref="G21:H21"/>
    <mergeCell ref="K21:L21"/>
    <mergeCell ref="G22:H22"/>
    <mergeCell ref="Q22:R22"/>
    <mergeCell ref="B18:B19"/>
    <mergeCell ref="C18:C19"/>
    <mergeCell ref="H18:H19"/>
    <mergeCell ref="I18:I19"/>
    <mergeCell ref="J18:J19"/>
    <mergeCell ref="K18:K19"/>
    <mergeCell ref="L18:L19"/>
  </mergeCells>
  <hyperlinks>
    <hyperlink r:id="rId1" ref="B41"/>
    <hyperlink r:id="rId2" ref="B4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4.75"/>
    <col customWidth="1" min="3" max="6" width="12.38"/>
    <col customWidth="1" min="7" max="12" width="11.63"/>
    <col customWidth="1" min="13" max="13" width="8.75"/>
    <col customWidth="1" min="14" max="14" width="8.38"/>
    <col customWidth="1" min="15" max="15" width="8.75"/>
    <col customWidth="1" min="16" max="16" width="12.63"/>
    <col customWidth="1" min="17" max="29" width="15.13"/>
  </cols>
  <sheetData>
    <row r="1" ht="12.75" customHeight="1">
      <c r="A1" s="177" t="s">
        <v>133</v>
      </c>
      <c r="B1" s="178" t="s">
        <v>134</v>
      </c>
      <c r="M1" s="178"/>
      <c r="N1" s="178"/>
      <c r="O1" s="178"/>
      <c r="P1" s="178"/>
    </row>
    <row r="2" ht="12.75" customHeight="1">
      <c r="A2" s="179"/>
      <c r="B2" s="180"/>
      <c r="C2" s="181">
        <v>30411.0</v>
      </c>
      <c r="D2" s="7"/>
      <c r="E2" s="182">
        <v>30412.0</v>
      </c>
      <c r="F2" s="10"/>
      <c r="G2" s="181">
        <v>30413.0</v>
      </c>
      <c r="H2" s="7"/>
      <c r="I2" s="182">
        <v>30414.0</v>
      </c>
      <c r="J2" s="7"/>
      <c r="K2" s="182">
        <v>30415.0</v>
      </c>
      <c r="L2" s="10"/>
    </row>
    <row r="3" ht="12.75" customHeight="1">
      <c r="A3" s="179"/>
      <c r="B3" s="180"/>
      <c r="C3" s="183">
        <v>1.0</v>
      </c>
      <c r="D3" s="183">
        <v>2.0</v>
      </c>
      <c r="E3" s="183">
        <v>1.0</v>
      </c>
      <c r="F3" s="184">
        <v>2.0</v>
      </c>
      <c r="G3" s="185">
        <v>1.0</v>
      </c>
      <c r="H3" s="186">
        <v>2.0</v>
      </c>
      <c r="I3" s="183">
        <v>1.0</v>
      </c>
      <c r="J3" s="183">
        <v>2.0</v>
      </c>
      <c r="K3" s="186">
        <v>1.0</v>
      </c>
      <c r="L3" s="187">
        <v>2.0</v>
      </c>
    </row>
    <row r="4" ht="12.75" customHeight="1">
      <c r="A4" s="188" t="s">
        <v>135</v>
      </c>
      <c r="B4" s="189" t="s">
        <v>75</v>
      </c>
      <c r="C4" s="190" t="s">
        <v>136</v>
      </c>
      <c r="D4" s="12"/>
      <c r="E4" s="12"/>
      <c r="F4" s="16"/>
      <c r="G4" s="191"/>
      <c r="H4" s="192"/>
      <c r="I4" s="193" t="s">
        <v>137</v>
      </c>
      <c r="J4" s="13"/>
      <c r="K4" s="194"/>
      <c r="L4" s="195"/>
    </row>
    <row r="5" ht="12.75" customHeight="1">
      <c r="A5" s="59"/>
      <c r="B5" s="196" t="s">
        <v>81</v>
      </c>
      <c r="C5" s="197" t="s">
        <v>138</v>
      </c>
      <c r="D5" s="198"/>
      <c r="E5" s="198"/>
      <c r="F5" s="199"/>
      <c r="G5" s="200"/>
      <c r="H5" s="200"/>
      <c r="I5" s="201" t="s">
        <v>139</v>
      </c>
      <c r="J5" s="39"/>
      <c r="K5" s="202"/>
      <c r="L5" s="203"/>
    </row>
    <row r="6" ht="12.75" customHeight="1">
      <c r="A6" s="59"/>
      <c r="B6" s="196" t="s">
        <v>83</v>
      </c>
      <c r="C6" s="204" t="s">
        <v>140</v>
      </c>
      <c r="D6" s="12"/>
      <c r="E6" s="12"/>
      <c r="F6" s="16"/>
      <c r="G6" s="201" t="s">
        <v>141</v>
      </c>
      <c r="H6" s="39"/>
      <c r="I6" s="202"/>
      <c r="J6" s="202"/>
      <c r="K6" s="201" t="s">
        <v>142</v>
      </c>
      <c r="L6" s="40"/>
    </row>
    <row r="7" ht="12.75" customHeight="1">
      <c r="A7" s="59"/>
      <c r="B7" s="196" t="s">
        <v>87</v>
      </c>
      <c r="C7" s="205" t="s">
        <v>143</v>
      </c>
      <c r="D7" s="13"/>
      <c r="E7" s="193" t="s">
        <v>144</v>
      </c>
      <c r="F7" s="16"/>
      <c r="G7" s="206" t="s">
        <v>145</v>
      </c>
      <c r="H7" s="13"/>
      <c r="I7" s="202"/>
      <c r="J7" s="202"/>
      <c r="K7" s="202"/>
      <c r="L7" s="203"/>
    </row>
    <row r="8" ht="12.75" customHeight="1">
      <c r="A8" s="59"/>
      <c r="B8" s="196" t="s">
        <v>92</v>
      </c>
      <c r="C8" s="207"/>
      <c r="D8" s="208"/>
      <c r="E8" s="202"/>
      <c r="F8" s="203"/>
      <c r="G8" s="200"/>
      <c r="H8" s="200"/>
      <c r="I8" s="202"/>
      <c r="J8" s="202"/>
      <c r="K8" s="202"/>
      <c r="L8" s="203"/>
    </row>
    <row r="9" ht="12.75" customHeight="1">
      <c r="A9" s="59"/>
      <c r="B9" s="196" t="s">
        <v>93</v>
      </c>
      <c r="C9" s="200"/>
      <c r="D9" s="200"/>
      <c r="E9" s="209"/>
      <c r="F9" s="210"/>
      <c r="G9" s="200"/>
      <c r="H9" s="200"/>
      <c r="I9" s="202"/>
      <c r="J9" s="202"/>
      <c r="K9" s="202"/>
      <c r="L9" s="203"/>
    </row>
    <row r="10" ht="12.75" customHeight="1">
      <c r="A10" s="211"/>
      <c r="B10" s="212" t="s">
        <v>94</v>
      </c>
      <c r="C10" s="213"/>
      <c r="D10" s="214"/>
      <c r="E10" s="215"/>
      <c r="F10" s="216"/>
      <c r="G10" s="213"/>
      <c r="H10" s="214"/>
      <c r="I10" s="214"/>
      <c r="J10" s="214"/>
      <c r="K10" s="214"/>
      <c r="L10" s="217"/>
    </row>
    <row r="11" ht="12.75" customHeight="1">
      <c r="A11" s="188" t="s">
        <v>146</v>
      </c>
      <c r="B11" s="189" t="s">
        <v>75</v>
      </c>
      <c r="C11" s="191"/>
      <c r="D11" s="192"/>
      <c r="E11" s="194"/>
      <c r="F11" s="195"/>
      <c r="G11" s="201" t="s">
        <v>147</v>
      </c>
      <c r="H11" s="39"/>
      <c r="I11" s="201" t="s">
        <v>126</v>
      </c>
      <c r="J11" s="39"/>
      <c r="K11" s="201" t="s">
        <v>148</v>
      </c>
      <c r="L11" s="40"/>
    </row>
    <row r="12" ht="12.75" customHeight="1">
      <c r="A12" s="59"/>
      <c r="B12" s="196" t="s">
        <v>81</v>
      </c>
      <c r="C12" s="201" t="s">
        <v>149</v>
      </c>
      <c r="D12" s="39"/>
      <c r="E12" s="218" t="s">
        <v>150</v>
      </c>
      <c r="F12" s="40"/>
      <c r="G12" s="219" t="s">
        <v>151</v>
      </c>
      <c r="H12" s="39"/>
      <c r="I12" s="201" t="s">
        <v>148</v>
      </c>
      <c r="J12" s="39"/>
      <c r="K12" s="201" t="s">
        <v>126</v>
      </c>
      <c r="L12" s="40"/>
    </row>
    <row r="13" ht="12.75" customHeight="1">
      <c r="A13" s="59"/>
      <c r="B13" s="196" t="s">
        <v>83</v>
      </c>
      <c r="C13" s="220" t="s">
        <v>152</v>
      </c>
      <c r="D13" s="39"/>
      <c r="E13" s="221" t="s">
        <v>145</v>
      </c>
      <c r="F13" s="16"/>
      <c r="G13" s="201" t="s">
        <v>126</v>
      </c>
      <c r="H13" s="39"/>
      <c r="I13" s="202"/>
      <c r="J13" s="202"/>
      <c r="K13" s="202"/>
      <c r="L13" s="203"/>
    </row>
    <row r="14" ht="12.75" customHeight="1">
      <c r="A14" s="59"/>
      <c r="B14" s="196" t="s">
        <v>87</v>
      </c>
      <c r="C14" s="221" t="s">
        <v>145</v>
      </c>
      <c r="D14" s="13"/>
      <c r="E14" s="222"/>
      <c r="F14" s="223"/>
      <c r="G14" s="224"/>
      <c r="H14" s="225"/>
      <c r="I14" s="202"/>
      <c r="J14" s="202"/>
      <c r="K14" s="202"/>
      <c r="L14" s="203"/>
    </row>
    <row r="15" ht="12.75" customHeight="1">
      <c r="A15" s="59"/>
      <c r="B15" s="196" t="s">
        <v>92</v>
      </c>
      <c r="C15" s="222"/>
      <c r="D15" s="222"/>
      <c r="E15" s="201" t="s">
        <v>153</v>
      </c>
      <c r="F15" s="226" t="s">
        <v>154</v>
      </c>
      <c r="G15" s="224"/>
      <c r="H15" s="222"/>
      <c r="I15" s="202"/>
      <c r="J15" s="202"/>
      <c r="K15" s="202"/>
      <c r="L15" s="203"/>
    </row>
    <row r="16" ht="12.75" customHeight="1">
      <c r="A16" s="59"/>
      <c r="B16" s="196" t="s">
        <v>93</v>
      </c>
      <c r="C16" s="202"/>
      <c r="D16" s="202"/>
      <c r="E16" s="227" t="s">
        <v>154</v>
      </c>
      <c r="F16" s="226" t="s">
        <v>153</v>
      </c>
      <c r="G16" s="228"/>
      <c r="H16" s="202"/>
      <c r="I16" s="202"/>
      <c r="J16" s="202"/>
      <c r="K16" s="202"/>
      <c r="L16" s="203"/>
    </row>
    <row r="17" ht="12.75" customHeight="1">
      <c r="A17" s="211"/>
      <c r="B17" s="212" t="s">
        <v>94</v>
      </c>
      <c r="C17" s="214"/>
      <c r="D17" s="214"/>
      <c r="E17" s="229"/>
      <c r="F17" s="230"/>
      <c r="G17" s="213"/>
      <c r="H17" s="214"/>
      <c r="I17" s="214"/>
      <c r="J17" s="214"/>
      <c r="K17" s="214"/>
      <c r="L17" s="217"/>
    </row>
    <row r="18" ht="12.75" customHeight="1">
      <c r="A18" s="188" t="s">
        <v>155</v>
      </c>
      <c r="B18" s="189" t="s">
        <v>75</v>
      </c>
      <c r="C18" s="227"/>
      <c r="D18" s="227"/>
      <c r="E18" s="201" t="s">
        <v>156</v>
      </c>
      <c r="F18" s="39"/>
      <c r="G18" s="231" t="s">
        <v>138</v>
      </c>
      <c r="H18" s="38"/>
      <c r="I18" s="38"/>
      <c r="J18" s="38"/>
      <c r="K18" s="38"/>
      <c r="L18" s="40"/>
    </row>
    <row r="19" ht="12.75" customHeight="1">
      <c r="A19" s="59"/>
      <c r="B19" s="196" t="s">
        <v>81</v>
      </c>
      <c r="C19" s="201" t="s">
        <v>157</v>
      </c>
      <c r="D19" s="39"/>
      <c r="E19" s="201" t="s">
        <v>141</v>
      </c>
      <c r="F19" s="39"/>
      <c r="G19" s="204" t="s">
        <v>158</v>
      </c>
      <c r="H19" s="12"/>
      <c r="I19" s="12"/>
      <c r="J19" s="12"/>
      <c r="K19" s="12"/>
      <c r="L19" s="16"/>
    </row>
    <row r="20" ht="12.75" customHeight="1">
      <c r="A20" s="59"/>
      <c r="B20" s="196" t="s">
        <v>83</v>
      </c>
      <c r="C20" s="201" t="s">
        <v>141</v>
      </c>
      <c r="D20" s="39"/>
      <c r="E20" s="200"/>
      <c r="F20" s="232"/>
      <c r="G20" s="204" t="s">
        <v>159</v>
      </c>
      <c r="H20" s="12"/>
      <c r="I20" s="12"/>
      <c r="J20" s="12"/>
      <c r="K20" s="12"/>
      <c r="L20" s="16"/>
    </row>
    <row r="21" ht="12.75" customHeight="1">
      <c r="A21" s="59"/>
      <c r="B21" s="196" t="s">
        <v>87</v>
      </c>
      <c r="C21" s="222"/>
      <c r="D21" s="222"/>
      <c r="E21" s="200"/>
      <c r="F21" s="232"/>
      <c r="G21" s="233" t="s">
        <v>143</v>
      </c>
      <c r="H21" s="13"/>
      <c r="I21" s="200"/>
      <c r="J21" s="225"/>
      <c r="K21" s="193" t="s">
        <v>137</v>
      </c>
      <c r="L21" s="16"/>
    </row>
    <row r="22" ht="12.75" customHeight="1">
      <c r="A22" s="59"/>
      <c r="B22" s="196" t="s">
        <v>92</v>
      </c>
      <c r="C22" s="202"/>
      <c r="D22" s="202"/>
      <c r="E22" s="222"/>
      <c r="F22" s="223"/>
      <c r="G22" s="228"/>
      <c r="H22" s="202"/>
      <c r="I22" s="200"/>
      <c r="J22" s="225"/>
      <c r="K22" s="202"/>
      <c r="L22" s="203"/>
    </row>
    <row r="23" ht="12.75" customHeight="1">
      <c r="A23" s="59"/>
      <c r="B23" s="196" t="s">
        <v>93</v>
      </c>
      <c r="C23" s="200"/>
      <c r="D23" s="225"/>
      <c r="E23" s="200"/>
      <c r="F23" s="232"/>
      <c r="G23" s="228"/>
      <c r="H23" s="202"/>
      <c r="I23" s="202"/>
      <c r="J23" s="202"/>
      <c r="K23" s="202"/>
      <c r="L23" s="203"/>
    </row>
    <row r="24" ht="12.75" customHeight="1">
      <c r="A24" s="211"/>
      <c r="B24" s="212" t="s">
        <v>94</v>
      </c>
      <c r="C24" s="234" t="s">
        <v>160</v>
      </c>
      <c r="D24" s="91"/>
      <c r="E24" s="91"/>
      <c r="F24" s="91"/>
      <c r="G24" s="91"/>
      <c r="H24" s="91"/>
      <c r="I24" s="91"/>
      <c r="J24" s="91"/>
      <c r="K24" s="91"/>
      <c r="L24" s="92"/>
      <c r="M24" s="235"/>
      <c r="N24" s="235"/>
      <c r="O24" s="235"/>
      <c r="P24" s="235"/>
    </row>
    <row r="25" ht="12.75" customHeight="1">
      <c r="A25" s="188" t="s">
        <v>161</v>
      </c>
      <c r="B25" s="189" t="s">
        <v>75</v>
      </c>
      <c r="C25" s="231" t="s">
        <v>162</v>
      </c>
      <c r="D25" s="38"/>
      <c r="E25" s="38"/>
      <c r="F25" s="40"/>
      <c r="G25" s="201" t="s">
        <v>153</v>
      </c>
      <c r="H25" s="227" t="s">
        <v>154</v>
      </c>
      <c r="I25" s="220" t="s">
        <v>163</v>
      </c>
      <c r="J25" s="39"/>
      <c r="K25" s="221" t="s">
        <v>145</v>
      </c>
      <c r="L25" s="16"/>
      <c r="M25" s="179"/>
      <c r="N25" s="179"/>
      <c r="O25" s="236" t="s">
        <v>164</v>
      </c>
      <c r="P25" s="237"/>
    </row>
    <row r="26" ht="12.75" customHeight="1">
      <c r="A26" s="59"/>
      <c r="B26" s="196" t="s">
        <v>81</v>
      </c>
      <c r="C26" s="204" t="s">
        <v>165</v>
      </c>
      <c r="D26" s="12"/>
      <c r="E26" s="12"/>
      <c r="F26" s="16"/>
      <c r="G26" s="227" t="s">
        <v>154</v>
      </c>
      <c r="H26" s="201" t="s">
        <v>153</v>
      </c>
      <c r="I26" s="238" t="s">
        <v>145</v>
      </c>
      <c r="J26" s="39"/>
      <c r="K26" s="202"/>
      <c r="L26" s="203"/>
      <c r="M26" s="239"/>
      <c r="N26" s="239"/>
      <c r="O26" s="239"/>
      <c r="P26" s="239"/>
    </row>
    <row r="27" ht="12.75" customHeight="1">
      <c r="A27" s="59"/>
      <c r="B27" s="196" t="s">
        <v>83</v>
      </c>
      <c r="C27" s="204" t="s">
        <v>166</v>
      </c>
      <c r="D27" s="12"/>
      <c r="E27" s="12"/>
      <c r="F27" s="16"/>
      <c r="G27" s="228"/>
      <c r="H27" s="202"/>
      <c r="I27" s="227" t="s">
        <v>153</v>
      </c>
      <c r="J27" s="240" t="s">
        <v>154</v>
      </c>
      <c r="K27" s="218" t="s">
        <v>167</v>
      </c>
      <c r="L27" s="40"/>
    </row>
    <row r="28" ht="12.75" customHeight="1">
      <c r="A28" s="59"/>
      <c r="B28" s="196" t="s">
        <v>87</v>
      </c>
      <c r="C28" s="228"/>
      <c r="D28" s="202"/>
      <c r="E28" s="201" t="s">
        <v>168</v>
      </c>
      <c r="F28" s="39"/>
      <c r="G28" s="228"/>
      <c r="H28" s="202"/>
      <c r="I28" s="201" t="s">
        <v>154</v>
      </c>
      <c r="J28" s="227" t="s">
        <v>153</v>
      </c>
      <c r="K28" s="202"/>
      <c r="L28" s="203"/>
    </row>
    <row r="29" ht="12.75" customHeight="1">
      <c r="A29" s="59"/>
      <c r="B29" s="196" t="s">
        <v>92</v>
      </c>
      <c r="C29" s="222"/>
      <c r="D29" s="222"/>
      <c r="E29" s="202"/>
      <c r="F29" s="203"/>
      <c r="G29" s="228"/>
      <c r="H29" s="202"/>
      <c r="I29" s="202"/>
      <c r="J29" s="202"/>
      <c r="K29" s="201" t="s">
        <v>153</v>
      </c>
      <c r="L29" s="226" t="s">
        <v>154</v>
      </c>
    </row>
    <row r="30" ht="12.75" customHeight="1">
      <c r="A30" s="59"/>
      <c r="B30" s="196" t="s">
        <v>93</v>
      </c>
      <c r="C30" s="228"/>
      <c r="D30" s="202"/>
      <c r="E30" s="202"/>
      <c r="F30" s="203"/>
      <c r="G30" s="228"/>
      <c r="H30" s="202"/>
      <c r="I30" s="202"/>
      <c r="J30" s="202"/>
      <c r="K30" s="227" t="s">
        <v>154</v>
      </c>
      <c r="L30" s="226" t="s">
        <v>153</v>
      </c>
    </row>
    <row r="31" ht="12.75" customHeight="1">
      <c r="A31" s="211"/>
      <c r="B31" s="212" t="s">
        <v>169</v>
      </c>
      <c r="C31" s="214"/>
      <c r="D31" s="241"/>
      <c r="E31" s="241"/>
      <c r="F31" s="242"/>
      <c r="G31" s="213"/>
      <c r="H31" s="241"/>
      <c r="I31" s="241"/>
      <c r="J31" s="241"/>
      <c r="K31" s="241"/>
      <c r="L31" s="242"/>
    </row>
    <row r="32" ht="12.75" customHeight="1">
      <c r="A32" s="188" t="s">
        <v>170</v>
      </c>
      <c r="B32" s="189" t="s">
        <v>75</v>
      </c>
      <c r="C32" s="38"/>
      <c r="D32" s="243" t="s">
        <v>154</v>
      </c>
      <c r="E32" s="194"/>
      <c r="F32" s="192"/>
      <c r="G32" s="204" t="s">
        <v>165</v>
      </c>
      <c r="H32" s="12"/>
      <c r="I32" s="12"/>
      <c r="J32" s="12"/>
      <c r="K32" s="12"/>
      <c r="L32" s="16"/>
    </row>
    <row r="33" ht="12.75" customHeight="1">
      <c r="A33" s="59"/>
      <c r="B33" s="196" t="s">
        <v>81</v>
      </c>
      <c r="C33" s="244" t="s">
        <v>154</v>
      </c>
      <c r="D33" s="227" t="s">
        <v>153</v>
      </c>
      <c r="E33" s="202"/>
      <c r="F33" s="203"/>
      <c r="G33" s="204" t="s">
        <v>162</v>
      </c>
      <c r="H33" s="12"/>
      <c r="I33" s="12"/>
      <c r="J33" s="12"/>
      <c r="K33" s="12"/>
      <c r="L33" s="16"/>
    </row>
    <row r="34" ht="12.75" customHeight="1">
      <c r="A34" s="59"/>
      <c r="B34" s="196" t="s">
        <v>83</v>
      </c>
      <c r="C34" s="245" t="s">
        <v>171</v>
      </c>
      <c r="D34" s="225"/>
      <c r="E34" s="202"/>
      <c r="F34" s="203"/>
      <c r="G34" s="190" t="s">
        <v>136</v>
      </c>
      <c r="H34" s="12"/>
      <c r="I34" s="12"/>
      <c r="J34" s="12"/>
      <c r="K34" s="12"/>
      <c r="L34" s="16"/>
    </row>
    <row r="35" ht="12.75" customHeight="1">
      <c r="A35" s="59"/>
      <c r="B35" s="196" t="s">
        <v>87</v>
      </c>
      <c r="C35" s="224"/>
      <c r="D35" s="225"/>
      <c r="E35" s="202"/>
      <c r="F35" s="203"/>
      <c r="G35" s="202"/>
      <c r="H35" s="202"/>
      <c r="I35" s="202"/>
      <c r="J35" s="202"/>
      <c r="K35" s="202"/>
      <c r="L35" s="203"/>
    </row>
    <row r="36" ht="12.75" customHeight="1">
      <c r="A36" s="59"/>
      <c r="B36" s="196" t="s">
        <v>92</v>
      </c>
      <c r="C36" s="202"/>
      <c r="D36" s="202"/>
      <c r="E36" s="202"/>
      <c r="F36" s="203"/>
      <c r="G36" s="202"/>
      <c r="H36" s="202"/>
      <c r="I36" s="202"/>
      <c r="J36" s="202"/>
      <c r="K36" s="202"/>
      <c r="L36" s="203"/>
    </row>
    <row r="37" ht="12.75" customHeight="1">
      <c r="A37" s="59"/>
      <c r="B37" s="196" t="s">
        <v>93</v>
      </c>
      <c r="C37" s="202"/>
      <c r="D37" s="202"/>
      <c r="E37" s="202"/>
      <c r="F37" s="203"/>
      <c r="G37" s="202"/>
      <c r="H37" s="202"/>
      <c r="I37" s="202"/>
      <c r="J37" s="202"/>
      <c r="K37" s="202"/>
      <c r="L37" s="203"/>
    </row>
    <row r="38" ht="12.75" customHeight="1">
      <c r="A38" s="211"/>
      <c r="B38" s="212" t="s">
        <v>94</v>
      </c>
      <c r="C38" s="214"/>
      <c r="D38" s="214"/>
      <c r="E38" s="214"/>
      <c r="F38" s="217"/>
      <c r="G38" s="213"/>
      <c r="H38" s="214"/>
      <c r="I38" s="214"/>
      <c r="J38" s="214"/>
      <c r="K38" s="241"/>
      <c r="L38" s="242"/>
    </row>
    <row r="39" ht="12.75" customHeight="1">
      <c r="A39" s="1"/>
      <c r="B39" s="246">
        <f>'1r'!C44</f>
        <v>45940</v>
      </c>
      <c r="D39" s="247" t="s">
        <v>172</v>
      </c>
      <c r="E39" s="246"/>
      <c r="F39" s="246"/>
      <c r="G39" s="246"/>
      <c r="I39" s="1"/>
      <c r="J39" s="1"/>
      <c r="K39" s="1"/>
      <c r="L39" s="1"/>
      <c r="M39" s="1"/>
      <c r="N39" s="1"/>
      <c r="O39" s="1"/>
    </row>
    <row r="40" ht="12.75" customHeight="1">
      <c r="A40" s="1"/>
      <c r="B40" s="1"/>
      <c r="C40" s="1"/>
      <c r="D40" s="171" t="s">
        <v>173</v>
      </c>
    </row>
    <row r="41" ht="12.75" customHeight="1">
      <c r="A41" s="1"/>
      <c r="B41" s="1"/>
      <c r="C41" s="1"/>
      <c r="D41" s="248"/>
      <c r="G41" s="248"/>
      <c r="H41" s="248"/>
      <c r="I41" s="248"/>
      <c r="J41" s="248"/>
      <c r="K41" s="248"/>
      <c r="L41" s="248"/>
    </row>
  </sheetData>
  <mergeCells count="56">
    <mergeCell ref="C19:D19"/>
    <mergeCell ref="C20:D20"/>
    <mergeCell ref="A25:A31"/>
    <mergeCell ref="A32:A38"/>
    <mergeCell ref="B39:C39"/>
    <mergeCell ref="C2:D2"/>
    <mergeCell ref="C7:D7"/>
    <mergeCell ref="A11:A17"/>
    <mergeCell ref="C12:D12"/>
    <mergeCell ref="C13:D13"/>
    <mergeCell ref="C14:D14"/>
    <mergeCell ref="A18:A24"/>
    <mergeCell ref="C26:F26"/>
    <mergeCell ref="C27:F27"/>
    <mergeCell ref="E28:F28"/>
    <mergeCell ref="K27:L27"/>
    <mergeCell ref="G32:L32"/>
    <mergeCell ref="G33:L33"/>
    <mergeCell ref="G34:L34"/>
    <mergeCell ref="D40:L40"/>
    <mergeCell ref="G21:H21"/>
    <mergeCell ref="K21:L21"/>
    <mergeCell ref="C24:L24"/>
    <mergeCell ref="C25:F25"/>
    <mergeCell ref="I25:J25"/>
    <mergeCell ref="K25:L25"/>
    <mergeCell ref="I26:J26"/>
    <mergeCell ref="C4:F4"/>
    <mergeCell ref="I4:J4"/>
    <mergeCell ref="C5:F5"/>
    <mergeCell ref="I5:J5"/>
    <mergeCell ref="C6:F6"/>
    <mergeCell ref="G6:H6"/>
    <mergeCell ref="E7:F7"/>
    <mergeCell ref="G7:H7"/>
    <mergeCell ref="B1:L1"/>
    <mergeCell ref="E2:F2"/>
    <mergeCell ref="G2:H2"/>
    <mergeCell ref="I2:J2"/>
    <mergeCell ref="K2:L2"/>
    <mergeCell ref="A4:A10"/>
    <mergeCell ref="K6:L6"/>
    <mergeCell ref="G11:H11"/>
    <mergeCell ref="I11:J11"/>
    <mergeCell ref="K11:L11"/>
    <mergeCell ref="E12:F12"/>
    <mergeCell ref="G12:H12"/>
    <mergeCell ref="I12:J12"/>
    <mergeCell ref="K12:L12"/>
    <mergeCell ref="E13:F13"/>
    <mergeCell ref="G13:H13"/>
    <mergeCell ref="E18:F18"/>
    <mergeCell ref="G18:L18"/>
    <mergeCell ref="E19:F19"/>
    <mergeCell ref="G19:L19"/>
    <mergeCell ref="G20:L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4.13"/>
    <col customWidth="1" min="3" max="3" width="6.0"/>
    <col customWidth="1" min="4" max="4" width="6.63"/>
    <col customWidth="1" min="5" max="5" width="6.13"/>
    <col customWidth="1" min="6" max="6" width="6.5"/>
    <col customWidth="1" min="7" max="7" width="5.63"/>
    <col customWidth="1" min="8" max="8" width="6.0"/>
    <col customWidth="1" min="9" max="9" width="6.5"/>
    <col customWidth="1" min="10" max="12" width="6.75"/>
    <col customWidth="1" min="13" max="13" width="6.13"/>
    <col customWidth="1" min="14" max="14" width="6.38"/>
    <col customWidth="1" min="15" max="15" width="5.63"/>
    <col customWidth="1" min="16" max="16" width="6.88"/>
    <col customWidth="1" min="17" max="17" width="6.0"/>
    <col customWidth="1" min="18" max="18" width="6.38"/>
    <col customWidth="1" min="19" max="19" width="6.13"/>
    <col customWidth="1" min="20" max="20" width="6.25"/>
    <col customWidth="1" min="21" max="21" width="6.0"/>
    <col customWidth="1" min="22" max="22" width="6.25"/>
    <col customWidth="1" min="23" max="23" width="9.5"/>
  </cols>
  <sheetData>
    <row r="1" ht="14.25" customHeight="1">
      <c r="A1" s="177" t="s">
        <v>133</v>
      </c>
      <c r="B1" s="249" t="s">
        <v>174</v>
      </c>
      <c r="Q1" s="1"/>
      <c r="R1" s="1"/>
      <c r="S1" s="1"/>
      <c r="T1" s="1"/>
    </row>
    <row r="2" ht="14.25" customHeight="1">
      <c r="A2" s="179"/>
      <c r="B2" s="179"/>
      <c r="C2" s="250">
        <v>30221.0</v>
      </c>
      <c r="D2" s="7"/>
      <c r="E2" s="251">
        <v>30222.0</v>
      </c>
      <c r="F2" s="7"/>
      <c r="G2" s="251">
        <v>30223.0</v>
      </c>
      <c r="H2" s="7"/>
      <c r="I2" s="251">
        <v>30224.0</v>
      </c>
      <c r="J2" s="7"/>
      <c r="K2" s="251">
        <v>30225.0</v>
      </c>
      <c r="L2" s="10"/>
      <c r="M2" s="251">
        <v>30226.0</v>
      </c>
      <c r="N2" s="7"/>
      <c r="O2" s="251">
        <v>30227.0</v>
      </c>
      <c r="P2" s="7"/>
      <c r="Q2" s="251">
        <v>30228.0</v>
      </c>
      <c r="R2" s="7"/>
      <c r="S2" s="251">
        <v>30229.0</v>
      </c>
      <c r="T2" s="7"/>
      <c r="U2" s="251">
        <v>302210.0</v>
      </c>
      <c r="V2" s="10"/>
    </row>
    <row r="3" ht="14.25" customHeight="1">
      <c r="A3" s="179"/>
      <c r="B3" s="179"/>
      <c r="C3" s="252">
        <v>1.0</v>
      </c>
      <c r="D3" s="183">
        <v>2.0</v>
      </c>
      <c r="E3" s="183">
        <v>1.0</v>
      </c>
      <c r="F3" s="183">
        <v>2.0</v>
      </c>
      <c r="G3" s="183">
        <v>1.0</v>
      </c>
      <c r="H3" s="183">
        <v>2.0</v>
      </c>
      <c r="I3" s="183">
        <v>1.0</v>
      </c>
      <c r="J3" s="183">
        <v>2.0</v>
      </c>
      <c r="K3" s="183">
        <v>1.0</v>
      </c>
      <c r="L3" s="184">
        <v>2.0</v>
      </c>
      <c r="M3" s="183">
        <v>1.0</v>
      </c>
      <c r="N3" s="183">
        <v>2.0</v>
      </c>
      <c r="O3" s="183">
        <v>1.0</v>
      </c>
      <c r="P3" s="183">
        <v>2.0</v>
      </c>
      <c r="Q3" s="183">
        <v>1.0</v>
      </c>
      <c r="R3" s="183">
        <v>2.0</v>
      </c>
      <c r="S3" s="183">
        <v>1.0</v>
      </c>
      <c r="T3" s="183">
        <v>2.0</v>
      </c>
      <c r="U3" s="183">
        <v>1.0</v>
      </c>
      <c r="V3" s="184">
        <v>2.0</v>
      </c>
    </row>
    <row r="4" ht="12.75" customHeight="1">
      <c r="A4" s="188" t="s">
        <v>74</v>
      </c>
      <c r="B4" s="253" t="s">
        <v>75</v>
      </c>
      <c r="C4" s="254"/>
      <c r="D4" s="255"/>
      <c r="E4" s="256"/>
      <c r="G4" s="256"/>
      <c r="I4" s="257"/>
      <c r="J4" s="258"/>
      <c r="L4" s="259"/>
      <c r="M4" s="149"/>
      <c r="N4" s="260"/>
      <c r="O4" s="261"/>
      <c r="P4" s="255"/>
      <c r="Q4" s="262" t="s">
        <v>175</v>
      </c>
      <c r="S4" s="257"/>
      <c r="T4" s="258"/>
      <c r="U4" s="263" t="s">
        <v>176</v>
      </c>
      <c r="V4" s="264"/>
    </row>
    <row r="5" ht="14.25" customHeight="1">
      <c r="A5" s="59"/>
      <c r="B5" s="265" t="s">
        <v>81</v>
      </c>
      <c r="C5" s="266"/>
      <c r="D5" s="267"/>
      <c r="F5" s="268"/>
      <c r="G5" s="269"/>
      <c r="H5" s="269"/>
      <c r="I5" s="269"/>
      <c r="J5" s="270"/>
      <c r="K5" s="271"/>
      <c r="L5" s="46"/>
      <c r="M5" s="269"/>
      <c r="N5" s="269"/>
      <c r="O5" s="269"/>
      <c r="P5" s="269"/>
      <c r="Q5" s="272"/>
      <c r="R5" s="262" t="s">
        <v>175</v>
      </c>
      <c r="S5" s="269"/>
      <c r="T5" s="270"/>
      <c r="U5" s="273" t="s">
        <v>177</v>
      </c>
      <c r="V5" s="274" t="s">
        <v>176</v>
      </c>
    </row>
    <row r="6" ht="12.75" customHeight="1">
      <c r="A6" s="59"/>
      <c r="B6" s="265" t="s">
        <v>83</v>
      </c>
      <c r="C6" s="275" t="s">
        <v>178</v>
      </c>
      <c r="D6" s="12"/>
      <c r="E6" s="12"/>
      <c r="F6" s="12"/>
      <c r="G6" s="12"/>
      <c r="H6" s="12"/>
      <c r="I6" s="12"/>
      <c r="J6" s="12"/>
      <c r="K6" s="12"/>
      <c r="L6" s="16"/>
      <c r="M6" s="273" t="s">
        <v>179</v>
      </c>
      <c r="N6" s="272"/>
      <c r="O6" s="276"/>
      <c r="P6" s="272"/>
      <c r="Q6" s="272"/>
      <c r="R6" s="272"/>
      <c r="S6" s="272"/>
      <c r="T6" s="272"/>
      <c r="U6" s="277"/>
      <c r="V6" s="278" t="s">
        <v>177</v>
      </c>
    </row>
    <row r="7" ht="14.25" customHeight="1">
      <c r="A7" s="59"/>
      <c r="B7" s="265" t="s">
        <v>87</v>
      </c>
      <c r="C7" s="279" t="s">
        <v>180</v>
      </c>
      <c r="D7" s="280"/>
      <c r="E7" s="280"/>
      <c r="F7" s="280"/>
      <c r="G7" s="280"/>
      <c r="H7" s="280"/>
      <c r="I7" s="280"/>
      <c r="J7" s="280"/>
      <c r="K7" s="280"/>
      <c r="L7" s="281"/>
      <c r="M7" s="276" t="s">
        <v>177</v>
      </c>
      <c r="N7" s="276" t="s">
        <v>179</v>
      </c>
      <c r="P7" s="272"/>
      <c r="R7" s="272"/>
      <c r="T7" s="272"/>
      <c r="U7" s="277"/>
      <c r="V7" s="264"/>
    </row>
    <row r="8" ht="13.5" customHeight="1">
      <c r="A8" s="59"/>
      <c r="B8" s="265" t="s">
        <v>92</v>
      </c>
      <c r="C8" s="282" t="s">
        <v>181</v>
      </c>
      <c r="D8" s="38"/>
      <c r="E8" s="38"/>
      <c r="F8" s="38"/>
      <c r="G8" s="38"/>
      <c r="H8" s="38"/>
      <c r="I8" s="38"/>
      <c r="J8" s="38"/>
      <c r="K8" s="38"/>
      <c r="L8" s="40"/>
      <c r="M8" s="283"/>
      <c r="N8" s="262" t="s">
        <v>182</v>
      </c>
      <c r="O8" s="262" t="s">
        <v>177</v>
      </c>
      <c r="P8" s="263" t="s">
        <v>176</v>
      </c>
      <c r="Q8" s="284" t="s">
        <v>183</v>
      </c>
      <c r="R8" s="284" t="s">
        <v>184</v>
      </c>
      <c r="S8" s="262" t="s">
        <v>185</v>
      </c>
      <c r="T8" s="276" t="s">
        <v>179</v>
      </c>
      <c r="U8" s="285" t="s">
        <v>183</v>
      </c>
      <c r="V8" s="286" t="s">
        <v>184</v>
      </c>
    </row>
    <row r="9" ht="13.5" customHeight="1">
      <c r="A9" s="59"/>
      <c r="B9" s="265" t="s">
        <v>93</v>
      </c>
      <c r="C9" s="287" t="s">
        <v>186</v>
      </c>
      <c r="D9" s="12"/>
      <c r="E9" s="12"/>
      <c r="F9" s="12"/>
      <c r="G9" s="12"/>
      <c r="H9" s="12"/>
      <c r="I9" s="12"/>
      <c r="J9" s="12"/>
      <c r="K9" s="12"/>
      <c r="L9" s="16"/>
      <c r="M9" s="283"/>
      <c r="N9" s="272"/>
      <c r="O9" s="263" t="s">
        <v>176</v>
      </c>
      <c r="P9" s="288" t="s">
        <v>177</v>
      </c>
      <c r="Q9" s="289"/>
      <c r="R9" s="289"/>
      <c r="S9" s="288" t="s">
        <v>179</v>
      </c>
      <c r="T9" s="273" t="s">
        <v>185</v>
      </c>
      <c r="U9" s="289"/>
      <c r="V9" s="290"/>
    </row>
    <row r="10" ht="11.25" customHeight="1">
      <c r="A10" s="211"/>
      <c r="B10" s="291" t="s">
        <v>94</v>
      </c>
      <c r="C10" s="292"/>
      <c r="D10" s="293"/>
      <c r="E10" s="293"/>
      <c r="F10" s="293"/>
      <c r="G10" s="294"/>
      <c r="H10" s="124"/>
      <c r="I10" s="293"/>
      <c r="J10" s="293"/>
      <c r="K10" s="293"/>
      <c r="L10" s="295"/>
      <c r="M10" s="293"/>
      <c r="N10" s="293"/>
      <c r="O10" s="296"/>
      <c r="P10" s="293"/>
      <c r="Q10" s="297"/>
      <c r="R10" s="298"/>
      <c r="S10" s="297"/>
      <c r="T10" s="297"/>
      <c r="U10" s="299"/>
      <c r="V10" s="300"/>
    </row>
    <row r="11" ht="14.25" customHeight="1">
      <c r="A11" s="188" t="s">
        <v>95</v>
      </c>
      <c r="B11" s="301" t="s">
        <v>75</v>
      </c>
      <c r="C11" s="302" t="s">
        <v>187</v>
      </c>
      <c r="D11" s="270" t="s">
        <v>188</v>
      </c>
      <c r="E11" s="303"/>
      <c r="F11" s="303"/>
      <c r="G11" s="261"/>
      <c r="H11" s="261"/>
      <c r="I11" s="261"/>
      <c r="J11" s="261"/>
      <c r="K11" s="303"/>
      <c r="L11" s="304"/>
      <c r="M11" s="305" t="s">
        <v>189</v>
      </c>
      <c r="N11" s="38"/>
      <c r="O11" s="38"/>
      <c r="P11" s="38"/>
      <c r="Q11" s="38"/>
      <c r="R11" s="38"/>
      <c r="S11" s="38"/>
      <c r="T11" s="38"/>
      <c r="U11" s="38"/>
      <c r="V11" s="40"/>
    </row>
    <row r="12" ht="14.25" customHeight="1">
      <c r="A12" s="59"/>
      <c r="B12" s="306" t="s">
        <v>81</v>
      </c>
      <c r="C12" s="307" t="s">
        <v>188</v>
      </c>
      <c r="D12" s="308" t="s">
        <v>187</v>
      </c>
      <c r="E12" s="309" t="s">
        <v>190</v>
      </c>
      <c r="F12" s="13"/>
      <c r="H12" s="269"/>
      <c r="I12" s="269"/>
      <c r="J12" s="269"/>
      <c r="K12" s="310" t="s">
        <v>191</v>
      </c>
      <c r="L12" s="46"/>
      <c r="M12" s="311" t="s">
        <v>192</v>
      </c>
      <c r="N12" s="12"/>
      <c r="O12" s="12"/>
      <c r="P12" s="12"/>
      <c r="Q12" s="12"/>
      <c r="R12" s="12"/>
      <c r="S12" s="12"/>
      <c r="T12" s="12"/>
      <c r="U12" s="12"/>
      <c r="V12" s="16"/>
    </row>
    <row r="13" ht="14.25" customHeight="1">
      <c r="A13" s="59"/>
      <c r="B13" s="306" t="s">
        <v>83</v>
      </c>
      <c r="C13" s="302"/>
      <c r="D13" s="312"/>
      <c r="E13" s="284" t="s">
        <v>183</v>
      </c>
      <c r="F13" s="284" t="s">
        <v>184</v>
      </c>
      <c r="G13" s="308" t="s">
        <v>193</v>
      </c>
      <c r="H13" s="313"/>
      <c r="I13" s="313" t="s">
        <v>182</v>
      </c>
      <c r="J13" s="310" t="s">
        <v>187</v>
      </c>
      <c r="K13" s="268"/>
      <c r="L13" s="314"/>
      <c r="M13" s="315" t="s">
        <v>180</v>
      </c>
      <c r="N13" s="12"/>
      <c r="O13" s="12"/>
      <c r="P13" s="12"/>
      <c r="Q13" s="12"/>
      <c r="R13" s="12"/>
      <c r="S13" s="12"/>
      <c r="T13" s="12"/>
      <c r="U13" s="12"/>
      <c r="V13" s="16"/>
    </row>
    <row r="14" ht="12.75" customHeight="1">
      <c r="A14" s="59"/>
      <c r="B14" s="316" t="s">
        <v>87</v>
      </c>
      <c r="C14" s="317" t="s">
        <v>194</v>
      </c>
      <c r="D14" s="13"/>
      <c r="E14" s="289"/>
      <c r="F14" s="289"/>
      <c r="G14" s="318"/>
      <c r="H14" s="308" t="s">
        <v>193</v>
      </c>
      <c r="I14" s="310" t="s">
        <v>187</v>
      </c>
      <c r="J14" s="308" t="s">
        <v>182</v>
      </c>
      <c r="K14" s="319" t="s">
        <v>195</v>
      </c>
      <c r="L14" s="38"/>
      <c r="M14" s="320" t="s">
        <v>196</v>
      </c>
      <c r="N14" s="38"/>
      <c r="O14" s="38"/>
      <c r="P14" s="38"/>
      <c r="Q14" s="38"/>
      <c r="R14" s="38"/>
      <c r="S14" s="38"/>
      <c r="T14" s="38"/>
      <c r="U14" s="38"/>
      <c r="V14" s="40"/>
    </row>
    <row r="15" ht="14.25" customHeight="1">
      <c r="A15" s="59"/>
      <c r="B15" s="306" t="s">
        <v>92</v>
      </c>
      <c r="C15" s="321" t="s">
        <v>183</v>
      </c>
      <c r="D15" s="284" t="s">
        <v>184</v>
      </c>
      <c r="E15" s="269"/>
      <c r="F15" s="313"/>
      <c r="G15" s="269"/>
      <c r="H15" s="310" t="s">
        <v>187</v>
      </c>
      <c r="I15" s="322" t="s">
        <v>197</v>
      </c>
      <c r="J15" s="13"/>
      <c r="K15" s="308" t="s">
        <v>193</v>
      </c>
      <c r="L15" s="323" t="s">
        <v>175</v>
      </c>
      <c r="N15" s="268"/>
      <c r="O15" s="268"/>
      <c r="P15" s="268"/>
      <c r="Q15" s="268"/>
      <c r="R15" s="268"/>
      <c r="S15" s="268"/>
      <c r="T15" s="268"/>
      <c r="U15" s="268"/>
      <c r="V15" s="314"/>
    </row>
    <row r="16" ht="14.25" customHeight="1">
      <c r="A16" s="59"/>
      <c r="B16" s="306" t="s">
        <v>93</v>
      </c>
      <c r="C16" s="28"/>
      <c r="D16" s="289"/>
      <c r="E16" s="269"/>
      <c r="F16" s="313"/>
      <c r="G16" s="310" t="s">
        <v>187</v>
      </c>
      <c r="H16" s="324"/>
      <c r="I16" s="269"/>
      <c r="J16" s="269"/>
      <c r="K16" s="325" t="s">
        <v>175</v>
      </c>
      <c r="L16" s="310" t="s">
        <v>193</v>
      </c>
      <c r="M16" s="283"/>
      <c r="N16" s="272"/>
      <c r="O16" s="272"/>
      <c r="P16" s="272"/>
      <c r="Q16" s="322" t="s">
        <v>198</v>
      </c>
      <c r="R16" s="13"/>
      <c r="S16" s="268"/>
      <c r="T16" s="268"/>
      <c r="U16" s="268"/>
      <c r="V16" s="314"/>
    </row>
    <row r="17" ht="12.0" customHeight="1">
      <c r="A17" s="211"/>
      <c r="B17" s="326" t="s">
        <v>94</v>
      </c>
      <c r="C17" s="327"/>
      <c r="D17" s="328"/>
      <c r="E17" s="328"/>
      <c r="F17" s="328"/>
      <c r="G17" s="328"/>
      <c r="H17" s="328"/>
      <c r="I17" s="328"/>
      <c r="J17" s="328"/>
      <c r="K17" s="329"/>
      <c r="L17" s="330"/>
      <c r="M17" s="327"/>
      <c r="N17" s="328"/>
      <c r="O17" s="328"/>
      <c r="P17" s="328"/>
      <c r="Q17" s="328"/>
      <c r="R17" s="328"/>
      <c r="S17" s="328"/>
      <c r="T17" s="328"/>
      <c r="U17" s="328"/>
      <c r="V17" s="331"/>
    </row>
    <row r="18" ht="14.25" customHeight="1">
      <c r="A18" s="188" t="s">
        <v>110</v>
      </c>
      <c r="B18" s="253" t="s">
        <v>75</v>
      </c>
      <c r="C18" s="263" t="s">
        <v>176</v>
      </c>
      <c r="D18" s="273" t="s">
        <v>177</v>
      </c>
      <c r="E18" s="276"/>
      <c r="F18" s="332"/>
      <c r="G18" s="261"/>
      <c r="H18" s="261"/>
      <c r="I18" s="261"/>
      <c r="J18" s="261"/>
      <c r="K18" s="303"/>
      <c r="L18" s="304"/>
      <c r="M18" s="333" t="s">
        <v>199</v>
      </c>
      <c r="N18" s="270" t="s">
        <v>188</v>
      </c>
      <c r="O18" s="262" t="s">
        <v>185</v>
      </c>
      <c r="P18" s="288" t="s">
        <v>179</v>
      </c>
      <c r="Q18" s="334" t="s">
        <v>200</v>
      </c>
      <c r="R18" s="13"/>
      <c r="S18" s="257"/>
      <c r="T18" s="257"/>
      <c r="U18" s="258"/>
      <c r="V18" s="46"/>
    </row>
    <row r="19" ht="14.25" customHeight="1">
      <c r="A19" s="59"/>
      <c r="B19" s="265" t="s">
        <v>81</v>
      </c>
      <c r="C19" s="273" t="s">
        <v>177</v>
      </c>
      <c r="D19" s="263" t="s">
        <v>176</v>
      </c>
      <c r="E19" s="334" t="s">
        <v>201</v>
      </c>
      <c r="F19" s="13"/>
      <c r="G19" s="142"/>
      <c r="H19" s="142"/>
      <c r="I19" s="142"/>
      <c r="J19" s="142"/>
      <c r="K19" s="142"/>
      <c r="L19" s="46"/>
      <c r="M19" s="325" t="s">
        <v>188</v>
      </c>
      <c r="N19" s="335" t="s">
        <v>199</v>
      </c>
      <c r="O19" s="288" t="s">
        <v>179</v>
      </c>
      <c r="P19" s="273" t="s">
        <v>185</v>
      </c>
      <c r="Q19" s="146"/>
      <c r="R19" s="288"/>
      <c r="S19" s="146"/>
      <c r="T19" s="288"/>
      <c r="U19" s="334" t="s">
        <v>200</v>
      </c>
      <c r="V19" s="16"/>
    </row>
    <row r="20" ht="14.25" customHeight="1">
      <c r="A20" s="59"/>
      <c r="B20" s="265" t="s">
        <v>83</v>
      </c>
      <c r="C20" s="142"/>
      <c r="D20" s="142"/>
      <c r="E20" s="142"/>
      <c r="F20" s="142"/>
      <c r="G20" s="336" t="s">
        <v>201</v>
      </c>
      <c r="H20" s="13"/>
      <c r="I20" s="284" t="s">
        <v>183</v>
      </c>
      <c r="J20" s="284" t="s">
        <v>184</v>
      </c>
      <c r="K20" s="263" t="s">
        <v>176</v>
      </c>
      <c r="L20" s="337" t="s">
        <v>187</v>
      </c>
      <c r="M20" s="338" t="s">
        <v>202</v>
      </c>
      <c r="N20" s="13"/>
      <c r="O20" s="322" t="s">
        <v>203</v>
      </c>
      <c r="P20" s="13"/>
      <c r="Q20" s="288" t="s">
        <v>179</v>
      </c>
      <c r="R20" s="288"/>
      <c r="S20" s="288"/>
      <c r="T20" s="288"/>
      <c r="U20" s="303"/>
      <c r="V20" s="304"/>
    </row>
    <row r="21" ht="14.25" customHeight="1">
      <c r="A21" s="59"/>
      <c r="B21" s="265" t="s">
        <v>87</v>
      </c>
      <c r="C21" s="334" t="s">
        <v>201</v>
      </c>
      <c r="D21" s="13"/>
      <c r="E21" s="142"/>
      <c r="F21" s="142"/>
      <c r="G21" s="142"/>
      <c r="H21" s="142"/>
      <c r="I21" s="289"/>
      <c r="J21" s="289"/>
      <c r="K21" s="308" t="s">
        <v>187</v>
      </c>
      <c r="L21" s="335" t="s">
        <v>176</v>
      </c>
      <c r="M21" s="339"/>
      <c r="N21" s="142"/>
      <c r="O21" s="142"/>
      <c r="P21" s="142"/>
      <c r="Q21" s="340"/>
      <c r="R21" s="276" t="s">
        <v>179</v>
      </c>
      <c r="S21" s="322" t="s">
        <v>203</v>
      </c>
      <c r="T21" s="13"/>
      <c r="U21" s="341" t="s">
        <v>204</v>
      </c>
      <c r="V21" s="16"/>
    </row>
    <row r="22" ht="14.25" customHeight="1">
      <c r="A22" s="59"/>
      <c r="B22" s="265" t="s">
        <v>92</v>
      </c>
      <c r="C22" s="307"/>
      <c r="D22" s="270"/>
      <c r="E22" s="263" t="s">
        <v>176</v>
      </c>
      <c r="F22" s="273" t="s">
        <v>177</v>
      </c>
      <c r="G22" s="284" t="s">
        <v>183</v>
      </c>
      <c r="H22" s="284" t="s">
        <v>184</v>
      </c>
      <c r="I22" s="142"/>
      <c r="J22" s="142"/>
      <c r="K22" s="273"/>
      <c r="L22" s="46"/>
      <c r="M22" s="307"/>
      <c r="N22" s="263"/>
      <c r="O22" s="146"/>
      <c r="Q22" s="146"/>
      <c r="R22" s="288"/>
      <c r="S22" s="285" t="s">
        <v>183</v>
      </c>
      <c r="T22" s="285" t="s">
        <v>184</v>
      </c>
      <c r="U22" s="342" t="s">
        <v>185</v>
      </c>
      <c r="V22" s="343" t="s">
        <v>179</v>
      </c>
    </row>
    <row r="23" ht="14.25" customHeight="1">
      <c r="A23" s="59"/>
      <c r="B23" s="265" t="s">
        <v>93</v>
      </c>
      <c r="C23" s="307"/>
      <c r="D23" s="270"/>
      <c r="E23" s="273" t="s">
        <v>177</v>
      </c>
      <c r="F23" s="263" t="s">
        <v>176</v>
      </c>
      <c r="G23" s="289"/>
      <c r="H23" s="289"/>
      <c r="I23" s="270"/>
      <c r="J23" s="142"/>
      <c r="K23" s="325"/>
      <c r="L23" s="344"/>
      <c r="M23" s="339"/>
      <c r="N23" s="270"/>
      <c r="O23" s="270"/>
      <c r="P23" s="146"/>
      <c r="Q23" s="146"/>
      <c r="R23" s="146"/>
      <c r="S23" s="289"/>
      <c r="T23" s="289"/>
      <c r="U23" s="288" t="s">
        <v>179</v>
      </c>
      <c r="V23" s="278" t="s">
        <v>185</v>
      </c>
    </row>
    <row r="24" ht="13.5" customHeight="1">
      <c r="A24" s="211"/>
      <c r="B24" s="291" t="s">
        <v>94</v>
      </c>
      <c r="C24" s="327"/>
      <c r="D24" s="328"/>
      <c r="E24" s="345"/>
      <c r="F24" s="328"/>
      <c r="G24" s="328"/>
      <c r="H24" s="328"/>
      <c r="I24" s="328"/>
      <c r="J24" s="328"/>
      <c r="K24" s="329"/>
      <c r="L24" s="330"/>
      <c r="M24" s="327"/>
      <c r="N24" s="328"/>
      <c r="O24" s="328"/>
      <c r="P24" s="328"/>
      <c r="Q24" s="328"/>
      <c r="R24" s="328"/>
      <c r="S24" s="328"/>
      <c r="T24" s="328"/>
      <c r="U24" s="91"/>
      <c r="V24" s="92"/>
    </row>
    <row r="25" ht="12.0" customHeight="1">
      <c r="A25" s="188" t="s">
        <v>114</v>
      </c>
      <c r="B25" s="301" t="s">
        <v>75</v>
      </c>
      <c r="C25" s="254"/>
      <c r="D25" s="255"/>
      <c r="E25" s="256"/>
      <c r="G25" s="256"/>
      <c r="I25" s="257"/>
      <c r="J25" s="258"/>
      <c r="L25" s="259"/>
      <c r="M25" s="303"/>
      <c r="N25" s="303"/>
      <c r="O25" s="303"/>
      <c r="P25" s="303"/>
      <c r="Q25" s="276"/>
      <c r="R25" s="303"/>
      <c r="S25" s="303"/>
      <c r="T25" s="303"/>
      <c r="U25" s="303"/>
      <c r="V25" s="304"/>
    </row>
    <row r="26" ht="12.75" customHeight="1">
      <c r="A26" s="59"/>
      <c r="B26" s="306" t="s">
        <v>81</v>
      </c>
      <c r="C26" s="346" t="s">
        <v>205</v>
      </c>
      <c r="D26" s="12"/>
      <c r="E26" s="12"/>
      <c r="F26" s="12"/>
      <c r="G26" s="12"/>
      <c r="H26" s="12"/>
      <c r="I26" s="12"/>
      <c r="J26" s="12"/>
      <c r="K26" s="12"/>
      <c r="L26" s="16"/>
      <c r="M26" s="334" t="s">
        <v>206</v>
      </c>
      <c r="N26" s="13"/>
      <c r="O26" s="268"/>
      <c r="P26" s="268"/>
      <c r="Q26" s="272"/>
      <c r="R26" s="272"/>
      <c r="S26" s="268"/>
      <c r="T26" s="268"/>
      <c r="U26" s="303"/>
      <c r="V26" s="304"/>
    </row>
    <row r="27" ht="13.5" customHeight="1">
      <c r="A27" s="59"/>
      <c r="B27" s="306" t="s">
        <v>83</v>
      </c>
      <c r="C27" s="287" t="s">
        <v>207</v>
      </c>
      <c r="D27" s="12"/>
      <c r="E27" s="12"/>
      <c r="F27" s="12"/>
      <c r="G27" s="12"/>
      <c r="H27" s="12"/>
      <c r="I27" s="12"/>
      <c r="J27" s="12"/>
      <c r="K27" s="12"/>
      <c r="L27" s="16"/>
      <c r="M27" s="347"/>
      <c r="N27" s="268"/>
      <c r="O27" s="334" t="s">
        <v>206</v>
      </c>
      <c r="P27" s="13"/>
      <c r="Q27" s="272"/>
      <c r="R27" s="272"/>
      <c r="S27" s="334" t="s">
        <v>208</v>
      </c>
      <c r="T27" s="13"/>
      <c r="U27" s="268"/>
      <c r="V27" s="314"/>
    </row>
    <row r="28" ht="14.25" customHeight="1">
      <c r="A28" s="59"/>
      <c r="B28" s="265" t="s">
        <v>87</v>
      </c>
      <c r="C28" s="338" t="s">
        <v>209</v>
      </c>
      <c r="D28" s="13"/>
      <c r="E28" s="142"/>
      <c r="F28" s="142"/>
      <c r="G28" s="348" t="s">
        <v>210</v>
      </c>
      <c r="H28" s="13"/>
      <c r="I28" s="270"/>
      <c r="J28" s="270"/>
      <c r="K28" s="349"/>
      <c r="L28" s="344"/>
      <c r="M28" s="311" t="s">
        <v>211</v>
      </c>
      <c r="N28" s="12"/>
      <c r="O28" s="12"/>
      <c r="P28" s="12"/>
      <c r="Q28" s="12"/>
      <c r="R28" s="12"/>
      <c r="S28" s="12"/>
      <c r="T28" s="12"/>
      <c r="U28" s="12"/>
      <c r="V28" s="16"/>
    </row>
    <row r="29" ht="13.5" customHeight="1">
      <c r="A29" s="59"/>
      <c r="B29" s="306" t="s">
        <v>92</v>
      </c>
      <c r="C29" s="350" t="s">
        <v>212</v>
      </c>
      <c r="D29" s="280"/>
      <c r="E29" s="280"/>
      <c r="F29" s="280"/>
      <c r="G29" s="280"/>
      <c r="H29" s="280"/>
      <c r="I29" s="280"/>
      <c r="J29" s="280"/>
      <c r="K29" s="280"/>
      <c r="L29" s="281"/>
      <c r="M29" s="315" t="s">
        <v>213</v>
      </c>
      <c r="N29" s="12"/>
      <c r="O29" s="12"/>
      <c r="P29" s="12"/>
      <c r="Q29" s="12"/>
      <c r="R29" s="12"/>
      <c r="S29" s="12"/>
      <c r="T29" s="12"/>
      <c r="U29" s="12"/>
      <c r="V29" s="16"/>
    </row>
    <row r="30" ht="14.25" customHeight="1">
      <c r="A30" s="59"/>
      <c r="B30" s="306" t="s">
        <v>93</v>
      </c>
      <c r="C30" s="351"/>
      <c r="D30" s="352"/>
      <c r="E30" s="268"/>
      <c r="F30" s="268"/>
      <c r="G30" s="352"/>
      <c r="H30" s="352"/>
      <c r="I30" s="270"/>
      <c r="J30" s="270"/>
      <c r="K30" s="349"/>
      <c r="L30" s="344"/>
      <c r="M30" s="311" t="s">
        <v>214</v>
      </c>
      <c r="N30" s="12"/>
      <c r="O30" s="12"/>
      <c r="P30" s="12"/>
      <c r="Q30" s="12"/>
      <c r="R30" s="12"/>
      <c r="S30" s="12"/>
      <c r="T30" s="12"/>
      <c r="U30" s="12"/>
      <c r="V30" s="16"/>
    </row>
    <row r="31" ht="13.5" customHeight="1">
      <c r="A31" s="211"/>
      <c r="B31" s="291" t="s">
        <v>94</v>
      </c>
      <c r="C31" s="353" t="s">
        <v>215</v>
      </c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7"/>
    </row>
    <row r="32" ht="14.25" customHeight="1">
      <c r="A32" s="188" t="s">
        <v>125</v>
      </c>
      <c r="B32" s="253" t="s">
        <v>75</v>
      </c>
      <c r="C32" s="254"/>
      <c r="D32" s="255"/>
      <c r="E32" s="310" t="s">
        <v>187</v>
      </c>
      <c r="F32" s="270" t="s">
        <v>185</v>
      </c>
      <c r="G32" s="276"/>
      <c r="H32" s="155"/>
      <c r="I32" s="334" t="s">
        <v>216</v>
      </c>
      <c r="J32" s="13"/>
      <c r="K32" s="303"/>
      <c r="L32" s="304"/>
      <c r="M32" s="284" t="s">
        <v>183</v>
      </c>
      <c r="N32" s="354" t="s">
        <v>184</v>
      </c>
      <c r="O32" s="256"/>
      <c r="P32" s="256"/>
      <c r="Q32" s="308" t="s">
        <v>182</v>
      </c>
      <c r="R32" s="263" t="s">
        <v>199</v>
      </c>
      <c r="S32" s="263" t="s">
        <v>176</v>
      </c>
      <c r="T32" s="355" t="s">
        <v>177</v>
      </c>
      <c r="U32" s="303"/>
      <c r="V32" s="304"/>
    </row>
    <row r="33" ht="14.25" customHeight="1">
      <c r="A33" s="59"/>
      <c r="B33" s="265" t="s">
        <v>81</v>
      </c>
      <c r="C33" s="266"/>
      <c r="D33" s="267"/>
      <c r="E33" s="348" t="s">
        <v>185</v>
      </c>
      <c r="F33" s="308" t="s">
        <v>187</v>
      </c>
      <c r="G33" s="155" t="s">
        <v>175</v>
      </c>
      <c r="H33" s="270"/>
      <c r="I33" s="270"/>
      <c r="J33" s="270"/>
      <c r="K33" s="334" t="s">
        <v>216</v>
      </c>
      <c r="L33" s="16"/>
      <c r="M33" s="289"/>
      <c r="N33" s="37"/>
      <c r="O33" s="270"/>
      <c r="P33" s="270"/>
      <c r="Q33" s="335" t="s">
        <v>199</v>
      </c>
      <c r="R33" s="308" t="s">
        <v>182</v>
      </c>
      <c r="S33" s="273" t="s">
        <v>177</v>
      </c>
      <c r="T33" s="263" t="s">
        <v>176</v>
      </c>
      <c r="U33" s="268"/>
      <c r="V33" s="314"/>
    </row>
    <row r="34" ht="14.25" customHeight="1">
      <c r="A34" s="59"/>
      <c r="B34" s="265" t="s">
        <v>83</v>
      </c>
      <c r="C34" s="263"/>
      <c r="D34" s="263"/>
      <c r="E34" s="263"/>
      <c r="G34" s="263" t="s">
        <v>176</v>
      </c>
      <c r="H34" s="270" t="s">
        <v>175</v>
      </c>
      <c r="I34" s="270"/>
      <c r="J34" s="270"/>
      <c r="K34" s="325"/>
      <c r="L34" s="344"/>
      <c r="M34" s="333"/>
      <c r="O34" s="284" t="s">
        <v>183</v>
      </c>
      <c r="P34" s="284" t="s">
        <v>184</v>
      </c>
      <c r="Q34" s="277"/>
      <c r="R34" s="356"/>
      <c r="S34" s="356"/>
      <c r="T34" s="276"/>
      <c r="U34" s="268"/>
      <c r="V34" s="314"/>
    </row>
    <row r="35" ht="14.25" customHeight="1">
      <c r="A35" s="59"/>
      <c r="B35" s="265" t="s">
        <v>87</v>
      </c>
      <c r="C35" s="270"/>
      <c r="D35" s="263"/>
      <c r="F35" s="263"/>
      <c r="H35" s="263" t="s">
        <v>176</v>
      </c>
      <c r="I35" s="155" t="s">
        <v>185</v>
      </c>
      <c r="J35" s="270"/>
      <c r="K35" s="273"/>
      <c r="L35" s="278"/>
      <c r="M35" s="270"/>
      <c r="N35" s="263"/>
      <c r="O35" s="289"/>
      <c r="P35" s="289"/>
      <c r="R35" s="303"/>
      <c r="S35" s="303"/>
      <c r="T35" s="277"/>
      <c r="U35" s="303"/>
      <c r="V35" s="264"/>
    </row>
    <row r="36" ht="12.0" customHeight="1">
      <c r="A36" s="59"/>
      <c r="B36" s="265" t="s">
        <v>92</v>
      </c>
      <c r="C36" s="357"/>
      <c r="D36" s="358"/>
      <c r="E36" s="263"/>
      <c r="F36" s="263"/>
      <c r="G36" s="263"/>
      <c r="H36" s="269"/>
      <c r="I36" s="263" t="s">
        <v>176</v>
      </c>
      <c r="J36" s="155" t="s">
        <v>185</v>
      </c>
      <c r="K36" s="284" t="s">
        <v>183</v>
      </c>
      <c r="L36" s="354" t="s">
        <v>184</v>
      </c>
      <c r="M36" s="275" t="s">
        <v>217</v>
      </c>
      <c r="N36" s="12"/>
      <c r="O36" s="12"/>
      <c r="P36" s="12"/>
      <c r="Q36" s="12"/>
      <c r="R36" s="12"/>
      <c r="S36" s="12"/>
      <c r="T36" s="12"/>
      <c r="U36" s="12"/>
      <c r="V36" s="16"/>
    </row>
    <row r="37" ht="12.75" customHeight="1">
      <c r="A37" s="59"/>
      <c r="B37" s="265" t="s">
        <v>93</v>
      </c>
      <c r="C37" s="357"/>
      <c r="D37" s="358"/>
      <c r="E37" s="263"/>
      <c r="F37" s="269"/>
      <c r="G37" s="359"/>
      <c r="H37" s="263"/>
      <c r="I37" s="263"/>
      <c r="J37" s="263" t="s">
        <v>176</v>
      </c>
      <c r="K37" s="289"/>
      <c r="L37" s="37"/>
      <c r="M37" s="307"/>
      <c r="N37" s="263"/>
      <c r="O37" s="270"/>
      <c r="P37" s="270"/>
      <c r="Q37" s="155"/>
      <c r="R37" s="270"/>
      <c r="S37" s="270"/>
      <c r="T37" s="270"/>
      <c r="U37" s="273"/>
      <c r="V37" s="264"/>
    </row>
    <row r="38" ht="11.25" customHeight="1">
      <c r="A38" s="211"/>
      <c r="B38" s="291" t="s">
        <v>94</v>
      </c>
      <c r="C38" s="292"/>
      <c r="D38" s="293"/>
      <c r="E38" s="293"/>
      <c r="F38" s="293"/>
      <c r="G38" s="293"/>
      <c r="H38" s="293"/>
      <c r="I38" s="293"/>
      <c r="J38" s="293"/>
      <c r="K38" s="293"/>
      <c r="L38" s="295"/>
      <c r="M38" s="292"/>
      <c r="N38" s="293"/>
      <c r="O38" s="293"/>
      <c r="P38" s="293"/>
      <c r="Q38" s="293"/>
      <c r="R38" s="360"/>
      <c r="S38" s="296"/>
      <c r="T38" s="293"/>
      <c r="U38" s="296"/>
      <c r="V38" s="295"/>
    </row>
    <row r="39" ht="14.25" customHeight="1">
      <c r="A39" s="1"/>
      <c r="B39" s="361">
        <f>'1r'!C44</f>
        <v>45940</v>
      </c>
      <c r="D39" s="362"/>
    </row>
    <row r="40">
      <c r="A40" s="1"/>
      <c r="B40" s="1"/>
      <c r="C40" s="363" t="s">
        <v>218</v>
      </c>
    </row>
    <row r="41">
      <c r="A41" s="1"/>
      <c r="B41" s="1"/>
      <c r="C41" s="1"/>
      <c r="D41" s="364"/>
    </row>
  </sheetData>
  <mergeCells count="77">
    <mergeCell ref="R8:R9"/>
    <mergeCell ref="Q16:R16"/>
    <mergeCell ref="Q18:R18"/>
    <mergeCell ref="Q8:Q9"/>
    <mergeCell ref="U8:U9"/>
    <mergeCell ref="V8:V9"/>
    <mergeCell ref="M11:V11"/>
    <mergeCell ref="M12:V12"/>
    <mergeCell ref="M13:V13"/>
    <mergeCell ref="M14:V14"/>
    <mergeCell ref="C9:L9"/>
    <mergeCell ref="G10:H10"/>
    <mergeCell ref="A11:A17"/>
    <mergeCell ref="E12:F12"/>
    <mergeCell ref="E13:E14"/>
    <mergeCell ref="F13:F14"/>
    <mergeCell ref="K14:L14"/>
    <mergeCell ref="I15:J15"/>
    <mergeCell ref="J20:J21"/>
    <mergeCell ref="C26:L26"/>
    <mergeCell ref="M26:N26"/>
    <mergeCell ref="C27:L27"/>
    <mergeCell ref="O27:P27"/>
    <mergeCell ref="C28:D28"/>
    <mergeCell ref="G28:H28"/>
    <mergeCell ref="C29:L29"/>
    <mergeCell ref="C14:D14"/>
    <mergeCell ref="C15:C16"/>
    <mergeCell ref="D15:D16"/>
    <mergeCell ref="A18:A24"/>
    <mergeCell ref="E19:F19"/>
    <mergeCell ref="A25:A31"/>
    <mergeCell ref="A32:A38"/>
    <mergeCell ref="B39:C39"/>
    <mergeCell ref="K36:K37"/>
    <mergeCell ref="L36:L37"/>
    <mergeCell ref="C40:P40"/>
    <mergeCell ref="I20:I21"/>
    <mergeCell ref="I32:J32"/>
    <mergeCell ref="M32:M33"/>
    <mergeCell ref="N32:N33"/>
    <mergeCell ref="K33:L33"/>
    <mergeCell ref="O34:O35"/>
    <mergeCell ref="P34:P35"/>
    <mergeCell ref="O2:P2"/>
    <mergeCell ref="Q2:R2"/>
    <mergeCell ref="S2:T2"/>
    <mergeCell ref="U2:V2"/>
    <mergeCell ref="K2:L2"/>
    <mergeCell ref="C6:L6"/>
    <mergeCell ref="C7:L7"/>
    <mergeCell ref="C8:L8"/>
    <mergeCell ref="B1:P1"/>
    <mergeCell ref="C2:D2"/>
    <mergeCell ref="E2:F2"/>
    <mergeCell ref="G2:H2"/>
    <mergeCell ref="I2:J2"/>
    <mergeCell ref="M2:N2"/>
    <mergeCell ref="A4:A10"/>
    <mergeCell ref="G20:H20"/>
    <mergeCell ref="C21:D21"/>
    <mergeCell ref="G22:G23"/>
    <mergeCell ref="H22:H23"/>
    <mergeCell ref="S27:T27"/>
    <mergeCell ref="M28:V28"/>
    <mergeCell ref="M29:V29"/>
    <mergeCell ref="M30:V30"/>
    <mergeCell ref="C31:V31"/>
    <mergeCell ref="M36:V36"/>
    <mergeCell ref="D39:T39"/>
    <mergeCell ref="U19:V19"/>
    <mergeCell ref="M20:N20"/>
    <mergeCell ref="O20:P20"/>
    <mergeCell ref="S21:T21"/>
    <mergeCell ref="U21:V21"/>
    <mergeCell ref="S22:S23"/>
    <mergeCell ref="T22:T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4.38"/>
    <col customWidth="1" min="3" max="4" width="10.25"/>
    <col customWidth="1" min="5" max="5" width="11.88"/>
    <col customWidth="1" min="6" max="6" width="12.38"/>
    <col customWidth="1" min="7" max="7" width="11.38"/>
    <col customWidth="1" min="8" max="8" width="10.75"/>
    <col customWidth="1" min="9" max="10" width="11.38"/>
    <col customWidth="1" min="11" max="11" width="15.63"/>
    <col customWidth="1" min="12" max="12" width="10.25"/>
  </cols>
  <sheetData>
    <row r="1" ht="13.5" customHeight="1">
      <c r="A1" s="365" t="s">
        <v>219</v>
      </c>
      <c r="B1" s="178" t="s">
        <v>220</v>
      </c>
    </row>
    <row r="2" ht="13.5" customHeight="1">
      <c r="A2" s="179"/>
      <c r="B2" s="179"/>
      <c r="C2" s="366">
        <v>30421.0</v>
      </c>
      <c r="D2" s="10"/>
      <c r="E2" s="366">
        <v>30422.0</v>
      </c>
      <c r="F2" s="10"/>
      <c r="G2" s="366">
        <v>30423.0</v>
      </c>
      <c r="H2" s="10"/>
      <c r="I2" s="182">
        <v>30424.0</v>
      </c>
      <c r="J2" s="10"/>
      <c r="K2" s="367">
        <v>30425.0</v>
      </c>
    </row>
    <row r="3" ht="13.5" customHeight="1">
      <c r="A3" s="179"/>
      <c r="B3" s="179"/>
      <c r="C3" s="252">
        <v>1.0</v>
      </c>
      <c r="D3" s="184">
        <v>2.0</v>
      </c>
      <c r="E3" s="183">
        <v>1.0</v>
      </c>
      <c r="F3" s="184">
        <v>2.0</v>
      </c>
      <c r="G3" s="252">
        <v>1.0</v>
      </c>
      <c r="H3" s="184">
        <v>2.0</v>
      </c>
      <c r="I3" s="183">
        <v>1.0</v>
      </c>
      <c r="J3" s="184">
        <v>2.0</v>
      </c>
      <c r="K3" s="184">
        <v>1.0</v>
      </c>
    </row>
    <row r="4" ht="13.5" customHeight="1">
      <c r="A4" s="188" t="s">
        <v>135</v>
      </c>
      <c r="B4" s="368" t="s">
        <v>75</v>
      </c>
      <c r="C4" s="369" t="s">
        <v>221</v>
      </c>
      <c r="D4" s="12"/>
      <c r="E4" s="12"/>
      <c r="F4" s="12"/>
      <c r="G4" s="244" t="s">
        <v>222</v>
      </c>
      <c r="H4" s="227" t="s">
        <v>223</v>
      </c>
      <c r="I4" s="370"/>
      <c r="J4" s="370"/>
      <c r="K4" s="371"/>
    </row>
    <row r="5" ht="13.5" customHeight="1">
      <c r="A5" s="59"/>
      <c r="B5" s="372" t="s">
        <v>81</v>
      </c>
      <c r="C5" s="369" t="s">
        <v>224</v>
      </c>
      <c r="D5" s="12"/>
      <c r="E5" s="12"/>
      <c r="F5" s="12"/>
      <c r="G5" s="373" t="s">
        <v>223</v>
      </c>
      <c r="H5" s="227" t="s">
        <v>222</v>
      </c>
      <c r="I5" s="201" t="s">
        <v>225</v>
      </c>
      <c r="J5" s="39"/>
      <c r="K5" s="203"/>
    </row>
    <row r="6" ht="13.5" customHeight="1">
      <c r="A6" s="59"/>
      <c r="B6" s="372" t="s">
        <v>83</v>
      </c>
      <c r="C6" s="374" t="s">
        <v>226</v>
      </c>
      <c r="D6" s="38"/>
      <c r="E6" s="38"/>
      <c r="F6" s="38"/>
      <c r="G6" s="228"/>
      <c r="H6" s="202"/>
      <c r="I6" s="202"/>
      <c r="J6" s="202"/>
      <c r="K6" s="226" t="s">
        <v>225</v>
      </c>
    </row>
    <row r="7" ht="13.5" customHeight="1">
      <c r="A7" s="59"/>
      <c r="B7" s="375" t="s">
        <v>87</v>
      </c>
      <c r="C7" s="376" t="s">
        <v>227</v>
      </c>
      <c r="D7" s="39"/>
      <c r="E7" s="377" t="s">
        <v>228</v>
      </c>
      <c r="F7" s="40"/>
      <c r="G7" s="373" t="s">
        <v>225</v>
      </c>
      <c r="H7" s="39"/>
      <c r="K7" s="378"/>
    </row>
    <row r="8" ht="13.5" customHeight="1">
      <c r="A8" s="59"/>
      <c r="B8" s="375" t="s">
        <v>92</v>
      </c>
      <c r="C8" s="204" t="s">
        <v>229</v>
      </c>
      <c r="D8" s="12"/>
      <c r="E8" s="12"/>
      <c r="F8" s="12"/>
      <c r="G8" s="12"/>
      <c r="H8" s="12"/>
      <c r="I8" s="12"/>
      <c r="J8" s="12"/>
      <c r="K8" s="16"/>
    </row>
    <row r="9" ht="13.5" customHeight="1">
      <c r="A9" s="59"/>
      <c r="B9" s="372" t="s">
        <v>93</v>
      </c>
      <c r="C9" s="379"/>
      <c r="D9" s="202"/>
      <c r="E9" s="225"/>
      <c r="F9" s="380"/>
      <c r="G9" s="379"/>
      <c r="H9" s="202"/>
      <c r="I9" s="381"/>
      <c r="J9" s="381"/>
      <c r="K9" s="382"/>
    </row>
    <row r="10" ht="12.0" customHeight="1">
      <c r="A10" s="211"/>
      <c r="B10" s="383" t="s">
        <v>94</v>
      </c>
      <c r="C10" s="213"/>
      <c r="D10" s="214"/>
      <c r="E10" s="214"/>
      <c r="F10" s="384"/>
      <c r="G10" s="213"/>
      <c r="H10" s="214"/>
      <c r="I10" s="214"/>
      <c r="J10" s="214"/>
      <c r="K10" s="217"/>
    </row>
    <row r="11" ht="13.5" customHeight="1">
      <c r="A11" s="188" t="s">
        <v>146</v>
      </c>
      <c r="B11" s="368" t="s">
        <v>75</v>
      </c>
      <c r="C11" s="227" t="s">
        <v>223</v>
      </c>
      <c r="D11" s="227"/>
      <c r="E11" s="385" t="s">
        <v>230</v>
      </c>
      <c r="F11" s="386" t="s">
        <v>231</v>
      </c>
      <c r="G11" s="387"/>
      <c r="H11" s="388"/>
      <c r="I11" s="370"/>
      <c r="J11" s="370"/>
      <c r="K11" s="226"/>
    </row>
    <row r="12" ht="13.5" customHeight="1">
      <c r="A12" s="59"/>
      <c r="B12" s="372" t="s">
        <v>81</v>
      </c>
      <c r="C12" s="227" t="s">
        <v>232</v>
      </c>
      <c r="D12" s="227" t="s">
        <v>223</v>
      </c>
      <c r="E12" s="289"/>
      <c r="F12" s="38"/>
      <c r="G12" s="150"/>
      <c r="H12" s="202"/>
      <c r="I12" s="389"/>
      <c r="J12" s="390"/>
      <c r="K12" s="378"/>
    </row>
    <row r="13" ht="13.5" customHeight="1">
      <c r="A13" s="59"/>
      <c r="B13" s="372" t="s">
        <v>83</v>
      </c>
      <c r="C13" s="228"/>
      <c r="D13" s="227" t="s">
        <v>232</v>
      </c>
      <c r="F13" s="391"/>
      <c r="G13" s="392" t="s">
        <v>230</v>
      </c>
      <c r="H13" s="393" t="s">
        <v>231</v>
      </c>
      <c r="I13" s="389"/>
      <c r="J13" s="390"/>
      <c r="K13" s="394"/>
    </row>
    <row r="14" ht="13.5" customHeight="1">
      <c r="A14" s="59"/>
      <c r="B14" s="395" t="s">
        <v>87</v>
      </c>
      <c r="C14" s="396"/>
      <c r="D14" s="397" t="s">
        <v>233</v>
      </c>
      <c r="E14" s="398" t="s">
        <v>234</v>
      </c>
      <c r="F14" s="13"/>
      <c r="G14" s="28"/>
      <c r="H14" s="39"/>
      <c r="I14" s="399" t="s">
        <v>232</v>
      </c>
      <c r="J14" s="318"/>
      <c r="K14" s="394" t="s">
        <v>235</v>
      </c>
    </row>
    <row r="15" ht="13.5" customHeight="1">
      <c r="A15" s="59"/>
      <c r="B15" s="372" t="s">
        <v>92</v>
      </c>
      <c r="C15" s="228"/>
      <c r="D15" s="202"/>
      <c r="E15" s="227" t="s">
        <v>223</v>
      </c>
      <c r="F15" s="380"/>
      <c r="G15" s="228"/>
      <c r="H15" s="202"/>
      <c r="I15" s="400" t="s">
        <v>233</v>
      </c>
      <c r="J15" s="399" t="s">
        <v>235</v>
      </c>
      <c r="K15" s="226" t="s">
        <v>232</v>
      </c>
    </row>
    <row r="16" ht="13.5" customHeight="1">
      <c r="A16" s="59"/>
      <c r="B16" s="372" t="s">
        <v>93</v>
      </c>
      <c r="C16" s="228"/>
      <c r="D16" s="202"/>
      <c r="E16" s="401" t="s">
        <v>232</v>
      </c>
      <c r="F16" s="201" t="s">
        <v>223</v>
      </c>
      <c r="G16" s="379"/>
      <c r="H16" s="202"/>
      <c r="I16" s="400" t="s">
        <v>235</v>
      </c>
      <c r="J16" s="399" t="s">
        <v>233</v>
      </c>
      <c r="K16" s="394"/>
    </row>
    <row r="17" ht="12.75" customHeight="1">
      <c r="A17" s="211"/>
      <c r="B17" s="383" t="s">
        <v>94</v>
      </c>
      <c r="C17" s="213"/>
      <c r="D17" s="214"/>
      <c r="E17" s="214"/>
      <c r="F17" s="384"/>
      <c r="G17" s="213"/>
      <c r="H17" s="214"/>
      <c r="I17" s="214"/>
      <c r="J17" s="214"/>
      <c r="K17" s="217"/>
    </row>
    <row r="18" ht="13.5" customHeight="1">
      <c r="A18" s="188" t="s">
        <v>155</v>
      </c>
      <c r="B18" s="368" t="s">
        <v>75</v>
      </c>
      <c r="C18" s="369" t="s">
        <v>236</v>
      </c>
      <c r="D18" s="12"/>
      <c r="E18" s="12"/>
      <c r="F18" s="12"/>
      <c r="G18" s="402" t="s">
        <v>237</v>
      </c>
      <c r="H18" s="38"/>
      <c r="I18" s="38"/>
      <c r="J18" s="38"/>
      <c r="K18" s="40"/>
    </row>
    <row r="19" ht="13.5" customHeight="1">
      <c r="A19" s="59"/>
      <c r="B19" s="372" t="s">
        <v>81</v>
      </c>
      <c r="C19" s="403" t="s">
        <v>238</v>
      </c>
      <c r="D19" s="38"/>
      <c r="E19" s="38"/>
      <c r="F19" s="38"/>
      <c r="G19" s="369" t="s">
        <v>239</v>
      </c>
      <c r="H19" s="12"/>
      <c r="I19" s="12"/>
      <c r="J19" s="12"/>
      <c r="K19" s="16"/>
    </row>
    <row r="20" ht="13.5" customHeight="1">
      <c r="A20" s="59"/>
      <c r="B20" s="372" t="s">
        <v>83</v>
      </c>
      <c r="C20" s="369" t="s">
        <v>240</v>
      </c>
      <c r="D20" s="12"/>
      <c r="E20" s="12"/>
      <c r="F20" s="12"/>
      <c r="G20" s="402" t="s">
        <v>241</v>
      </c>
      <c r="H20" s="38"/>
      <c r="I20" s="38"/>
      <c r="J20" s="38"/>
      <c r="K20" s="40"/>
    </row>
    <row r="21" ht="13.5" customHeight="1">
      <c r="A21" s="59"/>
      <c r="B21" s="372" t="s">
        <v>87</v>
      </c>
      <c r="C21" s="228"/>
      <c r="D21" s="202"/>
      <c r="E21" s="202"/>
      <c r="F21" s="203"/>
      <c r="G21" s="404" t="s">
        <v>242</v>
      </c>
      <c r="H21" s="13"/>
      <c r="I21" s="202"/>
      <c r="J21" s="202"/>
      <c r="K21" s="405" t="s">
        <v>243</v>
      </c>
    </row>
    <row r="22" ht="13.5" customHeight="1">
      <c r="A22" s="59"/>
      <c r="B22" s="372" t="s">
        <v>92</v>
      </c>
      <c r="C22" s="228"/>
      <c r="D22" s="202"/>
      <c r="E22" s="202"/>
      <c r="F22" s="203"/>
      <c r="G22" s="228"/>
      <c r="H22" s="202"/>
      <c r="I22" s="406" t="s">
        <v>244</v>
      </c>
      <c r="J22" s="39"/>
      <c r="K22" s="203"/>
    </row>
    <row r="23" ht="13.5" customHeight="1">
      <c r="A23" s="59"/>
      <c r="B23" s="372" t="s">
        <v>93</v>
      </c>
      <c r="C23" s="228"/>
      <c r="D23" s="202"/>
      <c r="E23" s="202"/>
      <c r="F23" s="203"/>
      <c r="G23" s="202"/>
      <c r="H23" s="202"/>
      <c r="I23" s="407"/>
      <c r="J23" s="407"/>
      <c r="K23" s="408"/>
    </row>
    <row r="24" ht="13.5" customHeight="1">
      <c r="A24" s="211"/>
      <c r="B24" s="383" t="s">
        <v>94</v>
      </c>
      <c r="C24" s="213"/>
      <c r="D24" s="214"/>
      <c r="E24" s="214"/>
      <c r="F24" s="217"/>
      <c r="G24" s="214"/>
      <c r="H24" s="214"/>
      <c r="I24" s="180"/>
      <c r="J24" s="180"/>
      <c r="K24" s="409"/>
    </row>
    <row r="25" ht="13.5" customHeight="1">
      <c r="A25" s="188" t="s">
        <v>161</v>
      </c>
      <c r="B25" s="368" t="s">
        <v>75</v>
      </c>
      <c r="C25" s="410" t="s">
        <v>233</v>
      </c>
      <c r="D25" s="411" t="s">
        <v>235</v>
      </c>
      <c r="E25" s="412"/>
      <c r="F25" s="413"/>
      <c r="G25" s="414"/>
      <c r="H25" s="414"/>
      <c r="I25" s="415" t="s">
        <v>230</v>
      </c>
      <c r="J25" s="415" t="s">
        <v>231</v>
      </c>
      <c r="K25" s="416" t="s">
        <v>223</v>
      </c>
    </row>
    <row r="26" ht="13.5" customHeight="1">
      <c r="A26" s="59"/>
      <c r="B26" s="372" t="s">
        <v>81</v>
      </c>
      <c r="C26" s="244" t="s">
        <v>235</v>
      </c>
      <c r="D26" s="142"/>
      <c r="E26" s="142"/>
      <c r="F26" s="417"/>
      <c r="G26" s="418"/>
      <c r="H26" s="146"/>
      <c r="I26" s="289"/>
      <c r="J26" s="289"/>
      <c r="K26" s="394" t="s">
        <v>233</v>
      </c>
    </row>
    <row r="27" ht="13.5" customHeight="1">
      <c r="A27" s="59"/>
      <c r="B27" s="372" t="s">
        <v>83</v>
      </c>
      <c r="C27" s="419"/>
      <c r="D27" s="240"/>
      <c r="F27" s="417" t="s">
        <v>235</v>
      </c>
      <c r="G27" s="420"/>
      <c r="H27" s="401" t="s">
        <v>232</v>
      </c>
      <c r="I27" s="225"/>
      <c r="J27" s="389"/>
      <c r="K27" s="421" t="s">
        <v>231</v>
      </c>
    </row>
    <row r="28" ht="13.5" customHeight="1">
      <c r="A28" s="59"/>
      <c r="B28" s="372" t="s">
        <v>87</v>
      </c>
      <c r="C28" s="419"/>
      <c r="D28" s="240"/>
      <c r="E28" s="422"/>
      <c r="F28" s="417" t="s">
        <v>232</v>
      </c>
      <c r="G28" s="420"/>
      <c r="H28" s="401" t="s">
        <v>235</v>
      </c>
      <c r="I28" s="225"/>
      <c r="J28" s="389"/>
      <c r="K28" s="290"/>
    </row>
    <row r="29" ht="13.5" customHeight="1">
      <c r="A29" s="59"/>
      <c r="B29" s="372" t="s">
        <v>92</v>
      </c>
      <c r="C29" s="392" t="s">
        <v>230</v>
      </c>
      <c r="D29" s="393" t="s">
        <v>231</v>
      </c>
      <c r="E29" s="401" t="s">
        <v>235</v>
      </c>
      <c r="F29" s="226" t="s">
        <v>233</v>
      </c>
      <c r="G29" s="423" t="s">
        <v>232</v>
      </c>
      <c r="H29" s="422"/>
      <c r="I29" s="225"/>
      <c r="J29" s="401" t="s">
        <v>223</v>
      </c>
      <c r="K29" s="232"/>
    </row>
    <row r="30" ht="13.5" customHeight="1">
      <c r="A30" s="59"/>
      <c r="B30" s="372" t="s">
        <v>93</v>
      </c>
      <c r="C30" s="28"/>
      <c r="D30" s="39"/>
      <c r="E30" s="227" t="s">
        <v>233</v>
      </c>
      <c r="F30" s="46"/>
      <c r="G30" s="227" t="s">
        <v>235</v>
      </c>
      <c r="H30" s="420"/>
      <c r="I30" s="401" t="s">
        <v>223</v>
      </c>
      <c r="J30" s="401" t="s">
        <v>232</v>
      </c>
      <c r="K30" s="145"/>
    </row>
    <row r="31" ht="12.75" customHeight="1">
      <c r="A31" s="211"/>
      <c r="B31" s="383" t="s">
        <v>94</v>
      </c>
      <c r="C31" s="424" t="s">
        <v>215</v>
      </c>
      <c r="D31" s="91"/>
      <c r="E31" s="91"/>
      <c r="F31" s="91"/>
      <c r="G31" s="91"/>
      <c r="H31" s="91"/>
      <c r="I31" s="91"/>
      <c r="J31" s="91"/>
      <c r="K31" s="92"/>
    </row>
    <row r="32" ht="13.5" customHeight="1">
      <c r="A32" s="188" t="s">
        <v>170</v>
      </c>
      <c r="B32" s="368" t="s">
        <v>75</v>
      </c>
      <c r="C32" s="201" t="s">
        <v>245</v>
      </c>
      <c r="D32" s="39"/>
      <c r="E32" s="412"/>
      <c r="F32" s="413"/>
      <c r="G32" s="402" t="s">
        <v>246</v>
      </c>
      <c r="H32" s="38"/>
      <c r="I32" s="38"/>
      <c r="J32" s="38"/>
      <c r="K32" s="40"/>
      <c r="L32" s="425"/>
    </row>
    <row r="33" ht="13.5" customHeight="1">
      <c r="A33" s="59"/>
      <c r="B33" s="372" t="s">
        <v>81</v>
      </c>
      <c r="C33" s="426"/>
      <c r="D33" s="381"/>
      <c r="E33" s="201" t="s">
        <v>245</v>
      </c>
      <c r="F33" s="39"/>
      <c r="G33" s="369" t="s">
        <v>247</v>
      </c>
      <c r="H33" s="12"/>
      <c r="I33" s="12"/>
      <c r="J33" s="12"/>
      <c r="K33" s="16"/>
      <c r="L33" s="425"/>
    </row>
    <row r="34" ht="13.5" customHeight="1">
      <c r="A34" s="59"/>
      <c r="B34" s="372" t="s">
        <v>83</v>
      </c>
      <c r="C34" s="426"/>
      <c r="D34" s="381"/>
      <c r="E34" s="200"/>
      <c r="F34" s="427"/>
      <c r="G34" s="369" t="s">
        <v>248</v>
      </c>
      <c r="H34" s="12"/>
      <c r="I34" s="12"/>
      <c r="J34" s="12"/>
      <c r="K34" s="16"/>
    </row>
    <row r="35" ht="13.5" customHeight="1">
      <c r="A35" s="59"/>
      <c r="B35" s="372" t="s">
        <v>87</v>
      </c>
      <c r="C35" s="426"/>
      <c r="D35" s="381"/>
      <c r="E35" s="200"/>
      <c r="F35" s="427"/>
      <c r="G35" s="202"/>
      <c r="H35" s="202"/>
      <c r="I35" s="407"/>
      <c r="J35" s="407"/>
      <c r="K35" s="408"/>
    </row>
    <row r="36" ht="13.5" customHeight="1">
      <c r="A36" s="59"/>
      <c r="B36" s="428" t="s">
        <v>92</v>
      </c>
      <c r="C36" s="426"/>
      <c r="D36" s="381"/>
      <c r="E36" s="200"/>
      <c r="F36" s="427"/>
      <c r="G36" s="202"/>
      <c r="H36" s="202"/>
      <c r="I36" s="407"/>
      <c r="J36" s="407"/>
      <c r="K36" s="408"/>
    </row>
    <row r="37" ht="13.5" customHeight="1">
      <c r="A37" s="59"/>
      <c r="B37" s="372" t="s">
        <v>93</v>
      </c>
      <c r="C37" s="426"/>
      <c r="D37" s="381"/>
      <c r="E37" s="200"/>
      <c r="F37" s="427"/>
      <c r="G37" s="202"/>
      <c r="H37" s="202"/>
      <c r="I37" s="407"/>
      <c r="J37" s="407"/>
      <c r="K37" s="408"/>
    </row>
    <row r="38" ht="11.25" customHeight="1">
      <c r="A38" s="211"/>
      <c r="B38" s="383" t="s">
        <v>94</v>
      </c>
      <c r="C38" s="213"/>
      <c r="D38" s="214"/>
      <c r="E38" s="214"/>
      <c r="F38" s="217"/>
      <c r="G38" s="214"/>
      <c r="H38" s="214"/>
      <c r="I38" s="214"/>
      <c r="J38" s="214"/>
      <c r="K38" s="217"/>
    </row>
    <row r="39" ht="13.5" customHeight="1">
      <c r="A39" s="1"/>
      <c r="B39" s="246">
        <f>'1r'!C44</f>
        <v>45940</v>
      </c>
      <c r="D39" s="248"/>
      <c r="E39" s="248"/>
      <c r="F39" s="248"/>
      <c r="G39" s="248"/>
      <c r="H39" s="248"/>
      <c r="I39" s="248"/>
      <c r="J39" s="248"/>
      <c r="K39" s="248"/>
    </row>
    <row r="40" ht="13.5" customHeight="1">
      <c r="A40" s="1"/>
      <c r="B40" s="1"/>
      <c r="C40" s="246"/>
      <c r="D40" s="171" t="s">
        <v>249</v>
      </c>
    </row>
    <row r="41" ht="13.5" customHeight="1">
      <c r="A41" s="1"/>
      <c r="B41" s="1"/>
      <c r="H41" s="171"/>
      <c r="I41" s="171"/>
      <c r="J41" s="171"/>
      <c r="K41" s="171"/>
    </row>
  </sheetData>
  <mergeCells count="44">
    <mergeCell ref="C6:F6"/>
    <mergeCell ref="C7:D7"/>
    <mergeCell ref="E7:F7"/>
    <mergeCell ref="A11:A17"/>
    <mergeCell ref="E11:E12"/>
    <mergeCell ref="H13:H14"/>
    <mergeCell ref="G21:H21"/>
    <mergeCell ref="G13:G14"/>
    <mergeCell ref="E14:F14"/>
    <mergeCell ref="G18:K18"/>
    <mergeCell ref="G19:K19"/>
    <mergeCell ref="G20:K20"/>
    <mergeCell ref="I22:J22"/>
    <mergeCell ref="I25:I26"/>
    <mergeCell ref="C5:F5"/>
    <mergeCell ref="I5:J5"/>
    <mergeCell ref="G7:H7"/>
    <mergeCell ref="C8:K8"/>
    <mergeCell ref="B1:L1"/>
    <mergeCell ref="C2:D2"/>
    <mergeCell ref="E2:F2"/>
    <mergeCell ref="G2:H2"/>
    <mergeCell ref="I2:J2"/>
    <mergeCell ref="A4:A10"/>
    <mergeCell ref="C4:F4"/>
    <mergeCell ref="F11:F12"/>
    <mergeCell ref="C18:F18"/>
    <mergeCell ref="C19:F19"/>
    <mergeCell ref="C20:F20"/>
    <mergeCell ref="A18:A24"/>
    <mergeCell ref="A25:A31"/>
    <mergeCell ref="C29:C30"/>
    <mergeCell ref="D29:D30"/>
    <mergeCell ref="A32:A38"/>
    <mergeCell ref="C32:D32"/>
    <mergeCell ref="B39:C39"/>
    <mergeCell ref="J25:J26"/>
    <mergeCell ref="K27:K28"/>
    <mergeCell ref="C31:K31"/>
    <mergeCell ref="G32:K32"/>
    <mergeCell ref="E33:F33"/>
    <mergeCell ref="G33:K33"/>
    <mergeCell ref="G34:K34"/>
    <mergeCell ref="D40:K4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5.38"/>
    <col customWidth="1" min="3" max="3" width="6.88"/>
    <col customWidth="1" min="4" max="4" width="6.5"/>
    <col customWidth="1" min="5" max="5" width="7.38"/>
    <col customWidth="1" min="6" max="6" width="8.38"/>
    <col customWidth="1" min="7" max="9" width="6.88"/>
    <col customWidth="1" min="10" max="10" width="8.0"/>
    <col customWidth="1" min="11" max="11" width="7.38"/>
    <col customWidth="1" min="12" max="13" width="8.0"/>
    <col customWidth="1" min="14" max="14" width="7.88"/>
    <col customWidth="1" min="15" max="15" width="6.88"/>
    <col customWidth="1" min="16" max="16" width="8.38"/>
    <col customWidth="1" min="17" max="17" width="6.88"/>
    <col customWidth="1" min="18" max="18" width="8.25"/>
  </cols>
  <sheetData>
    <row r="1" ht="14.25" customHeight="1">
      <c r="A1" s="365" t="s">
        <v>250</v>
      </c>
      <c r="B1" s="249" t="s">
        <v>251</v>
      </c>
    </row>
    <row r="2" ht="14.25" customHeight="1">
      <c r="A2" s="179"/>
      <c r="B2" s="179"/>
      <c r="C2" s="250">
        <v>30231.0</v>
      </c>
      <c r="D2" s="7"/>
      <c r="E2" s="429">
        <v>30232.0</v>
      </c>
      <c r="F2" s="7"/>
      <c r="G2" s="429">
        <v>30233.0</v>
      </c>
      <c r="H2" s="7"/>
      <c r="I2" s="251">
        <v>30234.0</v>
      </c>
      <c r="J2" s="7"/>
      <c r="K2" s="251">
        <v>30235.0</v>
      </c>
      <c r="L2" s="7"/>
      <c r="M2" s="251">
        <v>30236.0</v>
      </c>
      <c r="N2" s="7"/>
      <c r="O2" s="430">
        <v>30237.0</v>
      </c>
      <c r="P2" s="7"/>
      <c r="Q2" s="430">
        <v>30238.0</v>
      </c>
      <c r="R2" s="10"/>
    </row>
    <row r="3" ht="14.25" customHeight="1">
      <c r="A3" s="179"/>
      <c r="B3" s="179"/>
      <c r="C3" s="431">
        <v>1.0</v>
      </c>
      <c r="D3" s="432">
        <v>2.0</v>
      </c>
      <c r="E3" s="432">
        <v>1.0</v>
      </c>
      <c r="F3" s="432">
        <v>2.0</v>
      </c>
      <c r="G3" s="432">
        <v>1.0</v>
      </c>
      <c r="H3" s="432">
        <v>2.0</v>
      </c>
      <c r="I3" s="432">
        <v>1.0</v>
      </c>
      <c r="J3" s="432">
        <v>2.0</v>
      </c>
      <c r="K3" s="186">
        <v>1.0</v>
      </c>
      <c r="L3" s="186">
        <v>2.0</v>
      </c>
      <c r="M3" s="186">
        <v>1.0</v>
      </c>
      <c r="N3" s="433">
        <v>2.0</v>
      </c>
      <c r="O3" s="434">
        <v>1.0</v>
      </c>
      <c r="P3" s="434">
        <v>2.0</v>
      </c>
      <c r="Q3" s="434">
        <v>1.0</v>
      </c>
      <c r="R3" s="435">
        <v>2.0</v>
      </c>
    </row>
    <row r="4" ht="14.25" customHeight="1">
      <c r="A4" s="188" t="s">
        <v>74</v>
      </c>
      <c r="B4" s="368" t="s">
        <v>75</v>
      </c>
      <c r="C4" s="436" t="s">
        <v>252</v>
      </c>
      <c r="D4" s="13"/>
      <c r="E4" s="138"/>
      <c r="F4" s="138"/>
      <c r="G4" s="138"/>
      <c r="H4" s="138"/>
      <c r="I4" s="437" t="s">
        <v>253</v>
      </c>
      <c r="J4" s="413"/>
      <c r="K4" s="438" t="s">
        <v>254</v>
      </c>
      <c r="L4" s="439" t="s">
        <v>255</v>
      </c>
      <c r="M4" s="437"/>
      <c r="N4" s="439"/>
      <c r="O4" s="439" t="s">
        <v>256</v>
      </c>
      <c r="P4" s="439"/>
      <c r="Q4" s="440"/>
      <c r="R4" s="441"/>
    </row>
    <row r="5" ht="14.25" customHeight="1">
      <c r="A5" s="59"/>
      <c r="B5" s="372" t="s">
        <v>81</v>
      </c>
      <c r="C5" s="141"/>
      <c r="D5" s="142"/>
      <c r="E5" s="442" t="s">
        <v>252</v>
      </c>
      <c r="F5" s="39"/>
      <c r="G5" s="142"/>
      <c r="H5" s="142"/>
      <c r="I5" s="142"/>
      <c r="J5" s="443"/>
      <c r="K5" s="444" t="s">
        <v>256</v>
      </c>
      <c r="L5" s="445" t="s">
        <v>254</v>
      </c>
      <c r="M5" s="445"/>
      <c r="N5" s="446"/>
      <c r="O5" s="445" t="s">
        <v>255</v>
      </c>
      <c r="P5" s="445"/>
      <c r="Q5" s="445"/>
      <c r="R5" s="447"/>
    </row>
    <row r="6" ht="14.25" customHeight="1">
      <c r="A6" s="59"/>
      <c r="B6" s="372" t="s">
        <v>83</v>
      </c>
      <c r="C6" s="141"/>
      <c r="D6" s="142"/>
      <c r="E6" s="142"/>
      <c r="F6" s="142"/>
      <c r="G6" s="448" t="s">
        <v>252</v>
      </c>
      <c r="H6" s="13"/>
      <c r="I6" s="142"/>
      <c r="J6" s="145"/>
      <c r="K6" s="444" t="s">
        <v>255</v>
      </c>
      <c r="L6" s="449" t="s">
        <v>256</v>
      </c>
      <c r="M6" s="445"/>
      <c r="N6" s="449"/>
      <c r="O6" s="445" t="s">
        <v>254</v>
      </c>
      <c r="P6" s="445"/>
      <c r="Q6" s="445" t="s">
        <v>257</v>
      </c>
      <c r="R6" s="450"/>
    </row>
    <row r="7" ht="14.25" customHeight="1">
      <c r="A7" s="59"/>
      <c r="B7" s="372" t="s">
        <v>87</v>
      </c>
      <c r="C7" s="451" t="s">
        <v>258</v>
      </c>
      <c r="D7" s="12"/>
      <c r="E7" s="12"/>
      <c r="F7" s="12"/>
      <c r="G7" s="12"/>
      <c r="H7" s="12"/>
      <c r="I7" s="12"/>
      <c r="J7" s="16"/>
      <c r="K7" s="452"/>
      <c r="L7" s="446"/>
      <c r="M7" s="446" t="s">
        <v>255</v>
      </c>
      <c r="N7" s="446" t="s">
        <v>256</v>
      </c>
      <c r="O7" s="453"/>
      <c r="P7" s="446" t="s">
        <v>254</v>
      </c>
      <c r="Q7" s="445"/>
      <c r="R7" s="454" t="s">
        <v>259</v>
      </c>
    </row>
    <row r="8" ht="14.25" customHeight="1">
      <c r="A8" s="59"/>
      <c r="B8" s="372" t="s">
        <v>92</v>
      </c>
      <c r="C8" s="451" t="s">
        <v>260</v>
      </c>
      <c r="D8" s="12"/>
      <c r="E8" s="12"/>
      <c r="F8" s="12"/>
      <c r="G8" s="12"/>
      <c r="H8" s="12"/>
      <c r="I8" s="12"/>
      <c r="J8" s="16"/>
      <c r="K8" s="452"/>
      <c r="L8" s="446"/>
      <c r="M8" s="446" t="s">
        <v>254</v>
      </c>
      <c r="N8" s="446" t="s">
        <v>255</v>
      </c>
      <c r="O8" s="453"/>
      <c r="P8" s="446" t="s">
        <v>256</v>
      </c>
      <c r="Q8" s="445" t="s">
        <v>261</v>
      </c>
      <c r="R8" s="455" t="s">
        <v>262</v>
      </c>
    </row>
    <row r="9" ht="12.75" customHeight="1">
      <c r="A9" s="59"/>
      <c r="B9" s="372" t="s">
        <v>93</v>
      </c>
      <c r="C9" s="451" t="s">
        <v>263</v>
      </c>
      <c r="D9" s="12"/>
      <c r="E9" s="12"/>
      <c r="F9" s="12"/>
      <c r="G9" s="12"/>
      <c r="H9" s="12"/>
      <c r="I9" s="12"/>
      <c r="J9" s="16"/>
      <c r="K9" s="452"/>
      <c r="L9" s="446"/>
      <c r="M9" s="446" t="s">
        <v>256</v>
      </c>
      <c r="N9" s="446" t="s">
        <v>254</v>
      </c>
      <c r="O9" s="453"/>
      <c r="P9" s="446" t="s">
        <v>255</v>
      </c>
      <c r="Q9" s="445" t="s">
        <v>262</v>
      </c>
      <c r="R9" s="450" t="s">
        <v>261</v>
      </c>
    </row>
    <row r="10" ht="11.25" customHeight="1">
      <c r="A10" s="211"/>
      <c r="B10" s="383" t="s">
        <v>94</v>
      </c>
      <c r="C10" s="456"/>
      <c r="D10" s="457"/>
      <c r="E10" s="457"/>
      <c r="F10" s="457"/>
      <c r="G10" s="457"/>
      <c r="H10" s="457"/>
      <c r="I10" s="457"/>
      <c r="J10" s="458"/>
      <c r="K10" s="459"/>
      <c r="L10" s="460"/>
      <c r="M10" s="460"/>
      <c r="N10" s="460"/>
      <c r="O10" s="460"/>
      <c r="P10" s="460"/>
      <c r="Q10" s="460"/>
      <c r="R10" s="461"/>
    </row>
    <row r="11" ht="12.75" customHeight="1">
      <c r="A11" s="188" t="s">
        <v>95</v>
      </c>
      <c r="B11" s="462" t="s">
        <v>75</v>
      </c>
      <c r="C11" s="463" t="s">
        <v>261</v>
      </c>
      <c r="D11" s="464" t="s">
        <v>259</v>
      </c>
      <c r="E11" s="465"/>
      <c r="F11" s="466"/>
      <c r="G11" s="467"/>
      <c r="H11" s="468" t="s">
        <v>262</v>
      </c>
      <c r="I11" s="469"/>
      <c r="J11" s="468"/>
      <c r="K11" s="470" t="s">
        <v>264</v>
      </c>
      <c r="L11" s="38"/>
      <c r="M11" s="38"/>
      <c r="N11" s="38"/>
      <c r="O11" s="38"/>
      <c r="P11" s="38"/>
      <c r="Q11" s="38"/>
      <c r="R11" s="40"/>
    </row>
    <row r="12" ht="13.5" customHeight="1">
      <c r="A12" s="59"/>
      <c r="B12" s="428" t="s">
        <v>81</v>
      </c>
      <c r="C12" s="471" t="s">
        <v>259</v>
      </c>
      <c r="D12" s="445" t="s">
        <v>262</v>
      </c>
      <c r="E12" s="472"/>
      <c r="F12" s="473"/>
      <c r="G12" s="474"/>
      <c r="H12" s="446" t="s">
        <v>261</v>
      </c>
      <c r="I12" s="445"/>
      <c r="J12" s="475"/>
      <c r="K12" s="451" t="s">
        <v>265</v>
      </c>
      <c r="L12" s="12"/>
      <c r="M12" s="12"/>
      <c r="N12" s="12"/>
      <c r="O12" s="12"/>
      <c r="P12" s="12"/>
      <c r="Q12" s="12"/>
      <c r="R12" s="16"/>
    </row>
    <row r="13" ht="12.0" customHeight="1">
      <c r="A13" s="59"/>
      <c r="B13" s="428" t="s">
        <v>83</v>
      </c>
      <c r="C13" s="476" t="s">
        <v>262</v>
      </c>
      <c r="D13" s="446" t="s">
        <v>261</v>
      </c>
      <c r="E13" s="472"/>
      <c r="F13" s="472"/>
      <c r="G13" s="472"/>
      <c r="H13" s="446" t="s">
        <v>259</v>
      </c>
      <c r="I13" s="445"/>
      <c r="J13" s="445" t="s">
        <v>256</v>
      </c>
      <c r="K13" s="470" t="s">
        <v>266</v>
      </c>
      <c r="L13" s="38"/>
      <c r="M13" s="38"/>
      <c r="N13" s="38"/>
      <c r="O13" s="38"/>
      <c r="P13" s="38"/>
      <c r="Q13" s="38"/>
      <c r="R13" s="40"/>
    </row>
    <row r="14" ht="12.75" customHeight="1">
      <c r="A14" s="59"/>
      <c r="B14" s="428" t="s">
        <v>87</v>
      </c>
      <c r="C14" s="477"/>
      <c r="D14" s="472"/>
      <c r="E14" s="445" t="s">
        <v>262</v>
      </c>
      <c r="F14" s="446" t="s">
        <v>261</v>
      </c>
      <c r="G14" s="446" t="s">
        <v>259</v>
      </c>
      <c r="H14" s="472"/>
      <c r="I14" s="445" t="s">
        <v>256</v>
      </c>
      <c r="J14" s="478"/>
      <c r="K14" s="479" t="s">
        <v>267</v>
      </c>
      <c r="L14" s="12"/>
      <c r="M14" s="12"/>
      <c r="N14" s="12"/>
      <c r="O14" s="12"/>
      <c r="P14" s="12"/>
      <c r="Q14" s="12"/>
      <c r="R14" s="16"/>
    </row>
    <row r="15" ht="14.25" customHeight="1">
      <c r="A15" s="59"/>
      <c r="B15" s="428" t="s">
        <v>92</v>
      </c>
      <c r="C15" s="436"/>
      <c r="D15" s="13"/>
      <c r="E15" s="446" t="s">
        <v>261</v>
      </c>
      <c r="F15" s="446" t="s">
        <v>259</v>
      </c>
      <c r="G15" s="445" t="s">
        <v>262</v>
      </c>
      <c r="H15" s="472"/>
      <c r="I15" s="480" t="s">
        <v>255</v>
      </c>
      <c r="J15" s="480" t="s">
        <v>254</v>
      </c>
      <c r="K15" s="481"/>
      <c r="L15" s="482"/>
      <c r="M15" s="482"/>
      <c r="N15" s="482"/>
      <c r="O15" s="467"/>
      <c r="P15" s="466"/>
      <c r="Q15" s="453"/>
      <c r="R15" s="483"/>
    </row>
    <row r="16" ht="14.25" customHeight="1">
      <c r="A16" s="59"/>
      <c r="B16" s="428" t="s">
        <v>93</v>
      </c>
      <c r="C16" s="484"/>
      <c r="D16" s="485"/>
      <c r="E16" s="446" t="s">
        <v>259</v>
      </c>
      <c r="F16" s="445" t="s">
        <v>262</v>
      </c>
      <c r="G16" s="446" t="s">
        <v>261</v>
      </c>
      <c r="H16" s="472"/>
      <c r="I16" s="480" t="s">
        <v>254</v>
      </c>
      <c r="J16" s="480" t="s">
        <v>255</v>
      </c>
      <c r="K16" s="476"/>
      <c r="L16" s="473"/>
      <c r="M16" s="486"/>
      <c r="N16" s="467"/>
      <c r="O16" s="487"/>
      <c r="P16" s="445"/>
      <c r="Q16" s="453"/>
      <c r="R16" s="483"/>
    </row>
    <row r="17" ht="12.0" customHeight="1">
      <c r="A17" s="211"/>
      <c r="B17" s="488" t="s">
        <v>94</v>
      </c>
      <c r="C17" s="489" t="s">
        <v>268</v>
      </c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7"/>
    </row>
    <row r="18" ht="12.75" customHeight="1">
      <c r="A18" s="188" t="s">
        <v>110</v>
      </c>
      <c r="B18" s="462" t="s">
        <v>75</v>
      </c>
      <c r="C18" s="490" t="s">
        <v>269</v>
      </c>
      <c r="D18" s="6"/>
      <c r="E18" s="6"/>
      <c r="F18" s="6"/>
      <c r="G18" s="6"/>
      <c r="H18" s="6"/>
      <c r="I18" s="6"/>
      <c r="J18" s="10"/>
      <c r="K18" s="491"/>
      <c r="L18" s="492"/>
      <c r="M18" s="492"/>
      <c r="N18" s="492"/>
      <c r="O18" s="493"/>
      <c r="P18" s="493"/>
      <c r="Q18" s="493"/>
      <c r="R18" s="494"/>
    </row>
    <row r="19" ht="12.0" customHeight="1">
      <c r="A19" s="59"/>
      <c r="B19" s="428" t="s">
        <v>81</v>
      </c>
      <c r="C19" s="451" t="s">
        <v>270</v>
      </c>
      <c r="D19" s="12"/>
      <c r="E19" s="12"/>
      <c r="F19" s="12"/>
      <c r="G19" s="12"/>
      <c r="H19" s="12"/>
      <c r="I19" s="12"/>
      <c r="J19" s="16"/>
      <c r="K19" s="495"/>
      <c r="L19" s="452"/>
      <c r="M19" s="263"/>
      <c r="N19" s="263"/>
      <c r="O19" s="496"/>
      <c r="P19" s="496"/>
      <c r="Q19" s="473" t="s">
        <v>256</v>
      </c>
      <c r="R19" s="497"/>
    </row>
    <row r="20" ht="12.75" customHeight="1">
      <c r="A20" s="59"/>
      <c r="B20" s="428" t="s">
        <v>83</v>
      </c>
      <c r="C20" s="451" t="s">
        <v>271</v>
      </c>
      <c r="D20" s="12"/>
      <c r="E20" s="12"/>
      <c r="F20" s="12"/>
      <c r="G20" s="12"/>
      <c r="H20" s="12"/>
      <c r="I20" s="12"/>
      <c r="J20" s="16"/>
      <c r="K20" s="498"/>
      <c r="L20" s="496"/>
      <c r="M20" s="496"/>
      <c r="N20" s="496"/>
      <c r="O20" s="499" t="s">
        <v>252</v>
      </c>
      <c r="P20" s="13"/>
      <c r="Q20" s="473" t="s">
        <v>254</v>
      </c>
      <c r="R20" s="500" t="s">
        <v>255</v>
      </c>
    </row>
    <row r="21" ht="14.25" customHeight="1">
      <c r="A21" s="59"/>
      <c r="B21" s="428" t="s">
        <v>87</v>
      </c>
      <c r="C21" s="498"/>
      <c r="D21" s="496"/>
      <c r="E21" s="496"/>
      <c r="F21" s="475"/>
      <c r="G21" s="39"/>
      <c r="H21" s="289"/>
      <c r="I21" s="501" t="s">
        <v>272</v>
      </c>
      <c r="J21" s="16"/>
      <c r="K21" s="498"/>
      <c r="L21" s="496"/>
      <c r="M21" s="502" t="s">
        <v>252</v>
      </c>
      <c r="N21" s="39"/>
      <c r="O21" s="496"/>
      <c r="P21" s="496"/>
      <c r="Q21" s="473" t="s">
        <v>255</v>
      </c>
      <c r="R21" s="500" t="s">
        <v>254</v>
      </c>
    </row>
    <row r="22" ht="14.25" customHeight="1">
      <c r="A22" s="59"/>
      <c r="B22" s="428" t="s">
        <v>92</v>
      </c>
      <c r="C22" s="503" t="s">
        <v>273</v>
      </c>
      <c r="D22" s="446" t="s">
        <v>274</v>
      </c>
      <c r="E22" s="504"/>
      <c r="F22" s="445"/>
      <c r="G22" s="475"/>
      <c r="H22" s="475"/>
      <c r="I22" s="496"/>
      <c r="J22" s="473"/>
      <c r="K22" s="495" t="s">
        <v>272</v>
      </c>
      <c r="L22" s="13"/>
      <c r="M22" s="496"/>
      <c r="N22" s="496"/>
      <c r="O22" s="496"/>
      <c r="P22" s="496"/>
      <c r="Q22" s="499" t="s">
        <v>252</v>
      </c>
      <c r="R22" s="16"/>
    </row>
    <row r="23" ht="13.5" customHeight="1">
      <c r="A23" s="59"/>
      <c r="B23" s="428" t="s">
        <v>93</v>
      </c>
      <c r="C23" s="505" t="s">
        <v>275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500" t="s">
        <v>276</v>
      </c>
    </row>
    <row r="24" ht="12.0" customHeight="1">
      <c r="A24" s="211"/>
      <c r="B24" s="488" t="s">
        <v>94</v>
      </c>
      <c r="C24" s="506"/>
      <c r="D24" s="507"/>
      <c r="E24" s="507"/>
      <c r="F24" s="507"/>
      <c r="G24" s="507"/>
      <c r="H24" s="507"/>
      <c r="I24" s="507"/>
      <c r="J24" s="507"/>
      <c r="K24" s="506"/>
      <c r="L24" s="507"/>
      <c r="M24" s="507"/>
      <c r="N24" s="507"/>
      <c r="O24" s="507"/>
      <c r="P24" s="507"/>
      <c r="Q24" s="507"/>
      <c r="R24" s="508"/>
    </row>
    <row r="25" ht="14.25" customHeight="1">
      <c r="A25" s="188" t="s">
        <v>114</v>
      </c>
      <c r="B25" s="462" t="s">
        <v>75</v>
      </c>
      <c r="C25" s="509"/>
      <c r="D25" s="439"/>
      <c r="E25" s="439" t="s">
        <v>254</v>
      </c>
      <c r="F25" s="439" t="s">
        <v>255</v>
      </c>
      <c r="G25" s="439" t="s">
        <v>256</v>
      </c>
      <c r="H25" s="439"/>
      <c r="I25" s="510"/>
      <c r="J25" s="511"/>
      <c r="K25" s="495"/>
      <c r="L25" s="13"/>
      <c r="M25" s="452" t="s">
        <v>259</v>
      </c>
      <c r="N25" s="446" t="s">
        <v>261</v>
      </c>
      <c r="O25" s="493"/>
      <c r="P25" s="445" t="s">
        <v>262</v>
      </c>
      <c r="Q25" s="512"/>
      <c r="R25" s="513"/>
    </row>
    <row r="26" ht="14.25" customHeight="1">
      <c r="A26" s="59"/>
      <c r="B26" s="428" t="s">
        <v>81</v>
      </c>
      <c r="C26" s="514"/>
      <c r="D26" s="445"/>
      <c r="E26" s="445" t="s">
        <v>256</v>
      </c>
      <c r="F26" s="445" t="s">
        <v>254</v>
      </c>
      <c r="G26" s="445" t="s">
        <v>255</v>
      </c>
      <c r="H26" s="445"/>
      <c r="I26" s="445"/>
      <c r="J26" s="515"/>
      <c r="K26" s="452"/>
      <c r="L26" s="445"/>
      <c r="M26" s="446" t="s">
        <v>261</v>
      </c>
      <c r="N26" s="445" t="s">
        <v>262</v>
      </c>
      <c r="O26" s="474"/>
      <c r="P26" s="446" t="s">
        <v>259</v>
      </c>
      <c r="Q26" s="475"/>
      <c r="R26" s="516"/>
    </row>
    <row r="27" ht="14.25" customHeight="1">
      <c r="A27" s="59"/>
      <c r="B27" s="428" t="s">
        <v>83</v>
      </c>
      <c r="C27" s="517"/>
      <c r="D27" s="518"/>
      <c r="E27" s="445" t="s">
        <v>255</v>
      </c>
      <c r="F27" s="449"/>
      <c r="G27" s="445" t="s">
        <v>254</v>
      </c>
      <c r="H27" s="445"/>
      <c r="I27" s="445"/>
      <c r="J27" s="515"/>
      <c r="K27" s="444"/>
      <c r="L27" s="446"/>
      <c r="M27" s="445" t="s">
        <v>262</v>
      </c>
      <c r="N27" s="446" t="s">
        <v>259</v>
      </c>
      <c r="O27" s="446"/>
      <c r="P27" s="446" t="s">
        <v>261</v>
      </c>
      <c r="Q27" s="475"/>
      <c r="R27" s="516"/>
    </row>
    <row r="28" ht="15.0" customHeight="1">
      <c r="A28" s="59"/>
      <c r="B28" s="428" t="s">
        <v>87</v>
      </c>
      <c r="C28" s="471" t="s">
        <v>255</v>
      </c>
      <c r="D28" s="446"/>
      <c r="E28" s="453"/>
      <c r="F28" s="453"/>
      <c r="G28" s="453"/>
      <c r="H28" s="446" t="s">
        <v>254</v>
      </c>
      <c r="I28" s="453"/>
      <c r="J28" s="483"/>
      <c r="K28" s="444" t="s">
        <v>262</v>
      </c>
      <c r="L28" s="446" t="s">
        <v>261</v>
      </c>
      <c r="M28" s="445"/>
      <c r="N28" s="446"/>
      <c r="O28" s="446" t="s">
        <v>259</v>
      </c>
      <c r="P28" s="472"/>
      <c r="Q28" s="475"/>
      <c r="R28" s="516"/>
    </row>
    <row r="29" ht="12.75" customHeight="1">
      <c r="A29" s="59"/>
      <c r="B29" s="428" t="s">
        <v>92</v>
      </c>
      <c r="C29" s="471" t="s">
        <v>254</v>
      </c>
      <c r="D29" s="446" t="s">
        <v>255</v>
      </c>
      <c r="E29" s="453"/>
      <c r="F29" s="453"/>
      <c r="G29" s="453"/>
      <c r="H29" s="446" t="s">
        <v>256</v>
      </c>
      <c r="I29" s="453"/>
      <c r="J29" s="483"/>
      <c r="K29" s="452" t="s">
        <v>261</v>
      </c>
      <c r="L29" s="446" t="s">
        <v>259</v>
      </c>
      <c r="M29" s="446"/>
      <c r="N29" s="446"/>
      <c r="O29" s="445" t="s">
        <v>262</v>
      </c>
      <c r="P29" s="472"/>
      <c r="Q29" s="475"/>
      <c r="R29" s="516"/>
    </row>
    <row r="30" ht="14.25" customHeight="1">
      <c r="A30" s="59"/>
      <c r="B30" s="428" t="s">
        <v>93</v>
      </c>
      <c r="C30" s="471" t="s">
        <v>256</v>
      </c>
      <c r="D30" s="446" t="s">
        <v>254</v>
      </c>
      <c r="E30" s="453"/>
      <c r="F30" s="453"/>
      <c r="G30" s="453"/>
      <c r="H30" s="446" t="s">
        <v>255</v>
      </c>
      <c r="I30" s="453"/>
      <c r="J30" s="443" t="s">
        <v>277</v>
      </c>
      <c r="K30" s="452" t="s">
        <v>259</v>
      </c>
      <c r="M30" s="446"/>
      <c r="N30" s="445"/>
      <c r="O30" s="446" t="s">
        <v>261</v>
      </c>
      <c r="P30" s="472"/>
      <c r="Q30" s="475"/>
      <c r="R30" s="516"/>
    </row>
    <row r="31" ht="12.0" customHeight="1">
      <c r="A31" s="211"/>
      <c r="B31" s="488" t="s">
        <v>94</v>
      </c>
      <c r="C31" s="506"/>
      <c r="D31" s="507"/>
      <c r="E31" s="507"/>
      <c r="F31" s="507"/>
      <c r="G31" s="507"/>
      <c r="H31" s="507"/>
      <c r="I31" s="507"/>
      <c r="J31" s="508"/>
      <c r="K31" s="519"/>
      <c r="L31" s="520"/>
      <c r="M31" s="520"/>
      <c r="N31" s="520"/>
      <c r="O31" s="520"/>
      <c r="P31" s="520"/>
      <c r="Q31" s="520"/>
      <c r="R31" s="521"/>
    </row>
    <row r="32" ht="13.5" customHeight="1">
      <c r="A32" s="188" t="s">
        <v>125</v>
      </c>
      <c r="B32" s="462" t="s">
        <v>75</v>
      </c>
      <c r="C32" s="137"/>
      <c r="D32" s="138"/>
      <c r="E32" s="138"/>
      <c r="F32" s="522" t="s">
        <v>274</v>
      </c>
      <c r="G32" s="138"/>
      <c r="H32" s="138"/>
      <c r="I32" s="138"/>
      <c r="J32" s="523" t="s">
        <v>259</v>
      </c>
      <c r="K32" s="470" t="s">
        <v>278</v>
      </c>
      <c r="L32" s="38"/>
      <c r="M32" s="38"/>
      <c r="N32" s="38"/>
      <c r="O32" s="38"/>
      <c r="P32" s="38"/>
      <c r="Q32" s="38"/>
      <c r="R32" s="40"/>
    </row>
    <row r="33" ht="12.75" customHeight="1">
      <c r="A33" s="59"/>
      <c r="B33" s="428" t="s">
        <v>81</v>
      </c>
      <c r="C33" s="524"/>
      <c r="D33" s="449"/>
      <c r="E33" s="449"/>
      <c r="F33" s="449"/>
      <c r="G33" s="525"/>
      <c r="H33" s="13"/>
      <c r="I33" s="480" t="s">
        <v>259</v>
      </c>
      <c r="J33" s="443" t="s">
        <v>262</v>
      </c>
      <c r="K33" s="526" t="s">
        <v>279</v>
      </c>
      <c r="L33" s="38"/>
      <c r="M33" s="38"/>
      <c r="N33" s="38"/>
      <c r="O33" s="38"/>
      <c r="P33" s="38"/>
      <c r="Q33" s="38"/>
      <c r="R33" s="40"/>
    </row>
    <row r="34" ht="12.75" customHeight="1">
      <c r="A34" s="59"/>
      <c r="B34" s="428" t="s">
        <v>83</v>
      </c>
      <c r="C34" s="339"/>
      <c r="D34" s="263"/>
      <c r="E34" s="453"/>
      <c r="F34" s="449"/>
      <c r="G34" s="453"/>
      <c r="H34" s="453"/>
      <c r="I34" s="446" t="s">
        <v>262</v>
      </c>
      <c r="J34" s="527"/>
      <c r="K34" s="528" t="s">
        <v>280</v>
      </c>
      <c r="L34" s="38"/>
      <c r="M34" s="38"/>
      <c r="N34" s="38"/>
      <c r="O34" s="38"/>
      <c r="P34" s="38"/>
      <c r="Q34" s="38"/>
      <c r="R34" s="40"/>
    </row>
    <row r="35" ht="12.0" customHeight="1">
      <c r="A35" s="59"/>
      <c r="B35" s="428" t="s">
        <v>87</v>
      </c>
      <c r="C35" s="529" t="s">
        <v>281</v>
      </c>
      <c r="D35" s="12"/>
      <c r="E35" s="12"/>
      <c r="F35" s="12"/>
      <c r="G35" s="12"/>
      <c r="H35" s="12"/>
      <c r="I35" s="12"/>
      <c r="J35" s="16"/>
      <c r="K35" s="530"/>
      <c r="L35" s="445" t="s">
        <v>262</v>
      </c>
      <c r="M35" s="530"/>
      <c r="N35" s="530"/>
      <c r="O35" s="468"/>
      <c r="P35" s="531"/>
      <c r="Q35" s="532"/>
      <c r="R35" s="483"/>
    </row>
    <row r="36" ht="12.75" customHeight="1">
      <c r="A36" s="59"/>
      <c r="B36" s="428" t="s">
        <v>92</v>
      </c>
      <c r="C36" s="514"/>
      <c r="D36" s="453"/>
      <c r="E36" s="453"/>
      <c r="F36" s="453"/>
      <c r="G36" s="453"/>
      <c r="H36" s="453"/>
      <c r="I36" s="453"/>
      <c r="J36" s="483"/>
      <c r="K36" s="530"/>
      <c r="L36" s="530"/>
      <c r="M36" s="533"/>
      <c r="N36" s="534"/>
      <c r="O36" s="445"/>
      <c r="P36" s="531"/>
      <c r="Q36" s="453"/>
      <c r="R36" s="483"/>
    </row>
    <row r="37" ht="14.25" customHeight="1">
      <c r="A37" s="59"/>
      <c r="B37" s="428" t="s">
        <v>93</v>
      </c>
      <c r="C37" s="54"/>
      <c r="D37" s="535"/>
      <c r="E37" s="535"/>
      <c r="F37" s="535"/>
      <c r="G37" s="535"/>
      <c r="H37" s="535"/>
      <c r="I37" s="535"/>
      <c r="J37" s="536"/>
      <c r="K37" s="530"/>
      <c r="L37" s="530"/>
      <c r="M37" s="537"/>
      <c r="N37" s="533"/>
      <c r="O37" s="445"/>
      <c r="P37" s="531"/>
      <c r="Q37" s="453"/>
      <c r="R37" s="483"/>
    </row>
    <row r="38" ht="12.0" customHeight="1">
      <c r="A38" s="211"/>
      <c r="B38" s="488" t="s">
        <v>94</v>
      </c>
      <c r="C38" s="506"/>
      <c r="D38" s="507"/>
      <c r="E38" s="507"/>
      <c r="F38" s="507"/>
      <c r="G38" s="507"/>
      <c r="H38" s="507"/>
      <c r="I38" s="507"/>
      <c r="J38" s="508"/>
      <c r="K38" s="538"/>
      <c r="L38" s="538"/>
      <c r="M38" s="538"/>
      <c r="N38" s="539"/>
      <c r="O38" s="540"/>
      <c r="P38" s="538"/>
      <c r="Q38" s="541"/>
      <c r="R38" s="542"/>
    </row>
    <row r="39" ht="14.25" customHeight="1">
      <c r="A39" s="1"/>
      <c r="B39" s="246">
        <f>'1r'!C44</f>
        <v>45940</v>
      </c>
      <c r="D39" s="543" t="s">
        <v>282</v>
      </c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43">
    <mergeCell ref="O2:P2"/>
    <mergeCell ref="Q2:R2"/>
    <mergeCell ref="C2:D2"/>
    <mergeCell ref="C4:D4"/>
    <mergeCell ref="A11:A17"/>
    <mergeCell ref="C15:D15"/>
    <mergeCell ref="A18:A24"/>
    <mergeCell ref="A25:A31"/>
    <mergeCell ref="A32:A38"/>
    <mergeCell ref="B39:C39"/>
    <mergeCell ref="E5:F5"/>
    <mergeCell ref="G6:H6"/>
    <mergeCell ref="C7:J7"/>
    <mergeCell ref="C8:J8"/>
    <mergeCell ref="B1:R1"/>
    <mergeCell ref="E2:F2"/>
    <mergeCell ref="G2:H2"/>
    <mergeCell ref="I2:J2"/>
    <mergeCell ref="K2:L2"/>
    <mergeCell ref="M2:N2"/>
    <mergeCell ref="A4:A10"/>
    <mergeCell ref="C9:J9"/>
    <mergeCell ref="K11:R11"/>
    <mergeCell ref="K12:R12"/>
    <mergeCell ref="K13:R13"/>
    <mergeCell ref="K14:R14"/>
    <mergeCell ref="C17:R17"/>
    <mergeCell ref="C18:J18"/>
    <mergeCell ref="K22:L22"/>
    <mergeCell ref="K25:L25"/>
    <mergeCell ref="K32:R32"/>
    <mergeCell ref="G33:H33"/>
    <mergeCell ref="K33:R33"/>
    <mergeCell ref="K34:R34"/>
    <mergeCell ref="C35:J35"/>
    <mergeCell ref="D39:R39"/>
    <mergeCell ref="C19:J19"/>
    <mergeCell ref="C20:J20"/>
    <mergeCell ref="O20:P20"/>
    <mergeCell ref="I21:J21"/>
    <mergeCell ref="M21:N21"/>
    <mergeCell ref="Q22:R22"/>
    <mergeCell ref="C23:Q2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8.25"/>
    <col customWidth="1" min="3" max="10" width="12.63"/>
    <col customWidth="1" min="11" max="11" width="12.25"/>
    <col customWidth="1" min="12" max="12" width="13.5"/>
  </cols>
  <sheetData>
    <row r="1" ht="12.75" customHeight="1">
      <c r="A1" s="365" t="s">
        <v>164</v>
      </c>
      <c r="B1" s="178" t="s">
        <v>283</v>
      </c>
    </row>
    <row r="2" ht="12.75" customHeight="1">
      <c r="A2" s="179"/>
      <c r="B2" s="179"/>
      <c r="C2" s="366">
        <v>30431.0</v>
      </c>
      <c r="D2" s="7"/>
      <c r="E2" s="544">
        <v>30432.0</v>
      </c>
      <c r="F2" s="7"/>
      <c r="G2" s="545">
        <v>30433.0</v>
      </c>
      <c r="H2" s="7"/>
      <c r="I2" s="544">
        <v>30434.0</v>
      </c>
      <c r="J2" s="7"/>
      <c r="K2" s="182">
        <v>30435.0</v>
      </c>
      <c r="L2" s="10"/>
    </row>
    <row r="3" ht="12.75" customHeight="1">
      <c r="A3" s="179"/>
      <c r="B3" s="179"/>
      <c r="C3" s="252">
        <v>1.0</v>
      </c>
      <c r="D3" s="183">
        <v>2.0</v>
      </c>
      <c r="E3" s="183">
        <v>1.0</v>
      </c>
      <c r="F3" s="183">
        <v>2.0</v>
      </c>
      <c r="G3" s="183">
        <v>1.0</v>
      </c>
      <c r="H3" s="183">
        <v>2.0</v>
      </c>
      <c r="I3" s="183">
        <v>1.0</v>
      </c>
      <c r="J3" s="183">
        <v>2.0</v>
      </c>
      <c r="K3" s="183">
        <v>1.0</v>
      </c>
      <c r="L3" s="184">
        <v>2.0</v>
      </c>
    </row>
    <row r="4" ht="12.75" customHeight="1">
      <c r="A4" s="188" t="s">
        <v>135</v>
      </c>
      <c r="B4" s="189" t="s">
        <v>75</v>
      </c>
      <c r="C4" s="546"/>
      <c r="D4" s="547"/>
      <c r="E4" s="548" t="s">
        <v>284</v>
      </c>
      <c r="F4" s="549" t="s">
        <v>285</v>
      </c>
      <c r="G4" s="550"/>
      <c r="H4" s="550"/>
      <c r="I4" s="548" t="s">
        <v>286</v>
      </c>
      <c r="J4" s="551"/>
      <c r="K4" s="552" t="s">
        <v>287</v>
      </c>
      <c r="L4" s="553" t="s">
        <v>288</v>
      </c>
    </row>
    <row r="5" ht="12.75" customHeight="1">
      <c r="A5" s="59"/>
      <c r="B5" s="196" t="s">
        <v>81</v>
      </c>
      <c r="C5" s="554"/>
      <c r="D5" s="389"/>
      <c r="E5" s="555" t="s">
        <v>289</v>
      </c>
      <c r="F5" s="556" t="s">
        <v>284</v>
      </c>
      <c r="G5" s="202"/>
      <c r="H5" s="202"/>
      <c r="I5" s="552" t="s">
        <v>290</v>
      </c>
      <c r="J5" s="552" t="s">
        <v>286</v>
      </c>
      <c r="K5" s="557" t="s">
        <v>288</v>
      </c>
      <c r="L5" s="558" t="s">
        <v>287</v>
      </c>
    </row>
    <row r="6" ht="12.75" customHeight="1">
      <c r="A6" s="59"/>
      <c r="B6" s="196" t="s">
        <v>83</v>
      </c>
      <c r="C6" s="559" t="s">
        <v>288</v>
      </c>
      <c r="D6" s="559"/>
      <c r="E6" s="560"/>
      <c r="F6" s="556"/>
      <c r="G6" s="356"/>
      <c r="H6" s="356"/>
      <c r="I6" s="561"/>
      <c r="J6" s="551" t="s">
        <v>290</v>
      </c>
      <c r="K6" s="561"/>
      <c r="L6" s="562"/>
    </row>
    <row r="7" ht="12.75" customHeight="1">
      <c r="A7" s="59"/>
      <c r="B7" s="196" t="s">
        <v>87</v>
      </c>
      <c r="C7" s="231" t="s">
        <v>291</v>
      </c>
      <c r="D7" s="38"/>
      <c r="E7" s="38"/>
      <c r="F7" s="38"/>
      <c r="G7" s="38"/>
      <c r="H7" s="38"/>
      <c r="I7" s="38"/>
      <c r="J7" s="38"/>
      <c r="K7" s="38"/>
      <c r="L7" s="40"/>
    </row>
    <row r="8" ht="12.75" customHeight="1">
      <c r="A8" s="59"/>
      <c r="B8" s="196" t="s">
        <v>92</v>
      </c>
      <c r="C8" s="204" t="s">
        <v>292</v>
      </c>
      <c r="D8" s="12"/>
      <c r="E8" s="12"/>
      <c r="F8" s="12"/>
      <c r="G8" s="12"/>
      <c r="H8" s="12"/>
      <c r="I8" s="12"/>
      <c r="J8" s="12"/>
      <c r="K8" s="12"/>
      <c r="L8" s="16"/>
    </row>
    <row r="9" ht="12.75" customHeight="1">
      <c r="A9" s="59"/>
      <c r="B9" s="196" t="s">
        <v>93</v>
      </c>
      <c r="C9" s="387"/>
      <c r="D9" s="370"/>
      <c r="E9" s="202"/>
      <c r="F9" s="370"/>
      <c r="G9" s="549"/>
      <c r="H9" s="202"/>
      <c r="I9" s="202"/>
      <c r="J9" s="39"/>
      <c r="K9" s="202"/>
      <c r="L9" s="40"/>
    </row>
    <row r="10" ht="12.75" customHeight="1">
      <c r="A10" s="211"/>
      <c r="B10" s="212" t="s">
        <v>94</v>
      </c>
      <c r="C10" s="213"/>
      <c r="D10" s="214"/>
      <c r="E10" s="214"/>
      <c r="F10" s="214"/>
      <c r="G10" s="214"/>
      <c r="H10" s="214"/>
      <c r="I10" s="214"/>
      <c r="J10" s="214"/>
      <c r="K10" s="180"/>
      <c r="L10" s="409"/>
    </row>
    <row r="11" ht="12.75" customHeight="1">
      <c r="A11" s="188" t="s">
        <v>146</v>
      </c>
      <c r="B11" s="189" t="s">
        <v>75</v>
      </c>
      <c r="C11" s="563"/>
      <c r="D11" s="563"/>
      <c r="E11" s="218" t="s">
        <v>293</v>
      </c>
      <c r="F11" s="39"/>
      <c r="G11" s="564" t="s">
        <v>294</v>
      </c>
      <c r="H11" s="565" t="s">
        <v>295</v>
      </c>
      <c r="I11" s="566"/>
      <c r="J11" s="567"/>
      <c r="K11" s="568"/>
      <c r="L11" s="569"/>
    </row>
    <row r="12" ht="12.75" customHeight="1">
      <c r="A12" s="59"/>
      <c r="B12" s="196" t="s">
        <v>81</v>
      </c>
      <c r="C12" s="570" t="s">
        <v>296</v>
      </c>
      <c r="D12" s="13"/>
      <c r="E12" s="567"/>
      <c r="F12" s="571"/>
      <c r="G12" s="572" t="s">
        <v>295</v>
      </c>
      <c r="H12" s="552" t="s">
        <v>294</v>
      </c>
      <c r="I12" s="552"/>
      <c r="J12" s="567"/>
      <c r="K12" s="39"/>
      <c r="L12" s="290"/>
    </row>
    <row r="13" ht="12.75" customHeight="1">
      <c r="A13" s="59"/>
      <c r="B13" s="196" t="s">
        <v>83</v>
      </c>
      <c r="E13" s="573"/>
      <c r="F13" s="39"/>
      <c r="G13" s="574"/>
      <c r="H13" s="575"/>
      <c r="I13" s="576"/>
      <c r="J13" s="564"/>
      <c r="K13" s="576"/>
      <c r="L13" s="577"/>
    </row>
    <row r="14" ht="12.75" customHeight="1">
      <c r="A14" s="59"/>
      <c r="B14" s="196" t="s">
        <v>87</v>
      </c>
      <c r="C14" s="369" t="s">
        <v>297</v>
      </c>
      <c r="D14" s="12"/>
      <c r="E14" s="12"/>
      <c r="F14" s="12"/>
      <c r="G14" s="12"/>
      <c r="H14" s="12"/>
      <c r="I14" s="12"/>
      <c r="J14" s="12"/>
      <c r="K14" s="12"/>
      <c r="L14" s="16"/>
    </row>
    <row r="15" ht="12.75" customHeight="1">
      <c r="A15" s="59"/>
      <c r="B15" s="578" t="s">
        <v>92</v>
      </c>
      <c r="C15" s="190" t="s">
        <v>298</v>
      </c>
      <c r="D15" s="12"/>
      <c r="E15" s="12"/>
      <c r="F15" s="12"/>
      <c r="G15" s="12"/>
      <c r="H15" s="12"/>
      <c r="I15" s="12"/>
      <c r="J15" s="12"/>
      <c r="K15" s="12"/>
      <c r="L15" s="16"/>
    </row>
    <row r="16" ht="12.75" customHeight="1">
      <c r="A16" s="59"/>
      <c r="B16" s="196" t="s">
        <v>93</v>
      </c>
      <c r="C16" s="228"/>
      <c r="D16" s="202"/>
      <c r="E16" s="202"/>
      <c r="F16" s="202"/>
      <c r="G16" s="202"/>
      <c r="H16" s="370"/>
      <c r="I16" s="370"/>
      <c r="J16" s="370"/>
      <c r="K16" s="370"/>
      <c r="L16" s="371"/>
    </row>
    <row r="17" ht="12.75" customHeight="1">
      <c r="A17" s="211"/>
      <c r="B17" s="579" t="s">
        <v>94</v>
      </c>
      <c r="C17" s="580" t="s">
        <v>299</v>
      </c>
      <c r="D17" s="38"/>
      <c r="E17" s="38"/>
      <c r="F17" s="38"/>
      <c r="G17" s="38"/>
      <c r="H17" s="38"/>
      <c r="I17" s="38"/>
      <c r="J17" s="38"/>
      <c r="K17" s="38"/>
      <c r="L17" s="40"/>
    </row>
    <row r="18" ht="12.75" customHeight="1">
      <c r="A18" s="188" t="s">
        <v>155</v>
      </c>
      <c r="B18" s="581" t="s">
        <v>75</v>
      </c>
      <c r="C18" s="582" t="s">
        <v>286</v>
      </c>
      <c r="D18" s="583" t="s">
        <v>287</v>
      </c>
      <c r="E18" s="584"/>
      <c r="F18" s="563"/>
      <c r="G18" s="585"/>
      <c r="H18" s="563"/>
      <c r="I18" s="586" t="s">
        <v>295</v>
      </c>
      <c r="J18" s="586" t="s">
        <v>294</v>
      </c>
      <c r="K18" s="586"/>
      <c r="L18" s="587"/>
    </row>
    <row r="19" ht="12.75" customHeight="1">
      <c r="A19" s="59"/>
      <c r="B19" s="588" t="s">
        <v>81</v>
      </c>
      <c r="C19" s="589" t="s">
        <v>290</v>
      </c>
      <c r="D19" s="549" t="s">
        <v>286</v>
      </c>
      <c r="E19" s="549"/>
      <c r="F19" s="552"/>
      <c r="G19" s="590"/>
      <c r="H19" s="555" t="s">
        <v>287</v>
      </c>
      <c r="I19" s="575" t="s">
        <v>294</v>
      </c>
      <c r="J19" s="555" t="s">
        <v>295</v>
      </c>
      <c r="K19" s="575"/>
      <c r="L19" s="577"/>
    </row>
    <row r="20" ht="12.75" customHeight="1">
      <c r="A20" s="59"/>
      <c r="B20" s="588" t="s">
        <v>83</v>
      </c>
      <c r="C20" s="589" t="s">
        <v>287</v>
      </c>
      <c r="D20" s="549" t="s">
        <v>290</v>
      </c>
      <c r="E20" s="549"/>
      <c r="F20" s="549"/>
      <c r="G20" s="549"/>
      <c r="H20" s="555" t="s">
        <v>286</v>
      </c>
      <c r="I20" s="591" t="s">
        <v>300</v>
      </c>
      <c r="J20" s="13"/>
      <c r="K20" s="555"/>
      <c r="L20" s="577"/>
    </row>
    <row r="21" ht="12.75" customHeight="1">
      <c r="A21" s="59"/>
      <c r="B21" s="588" t="s">
        <v>87</v>
      </c>
      <c r="C21" s="592" t="s">
        <v>284</v>
      </c>
      <c r="D21" s="549"/>
      <c r="E21" s="549" t="s">
        <v>290</v>
      </c>
      <c r="F21" s="549" t="s">
        <v>286</v>
      </c>
      <c r="G21" s="555" t="s">
        <v>287</v>
      </c>
      <c r="H21" s="552" t="s">
        <v>301</v>
      </c>
      <c r="I21" s="555"/>
      <c r="J21" s="555"/>
      <c r="K21" s="593" t="s">
        <v>302</v>
      </c>
      <c r="L21" s="16"/>
    </row>
    <row r="22" ht="12.75" customHeight="1">
      <c r="A22" s="59"/>
      <c r="B22" s="588" t="s">
        <v>92</v>
      </c>
      <c r="C22" s="592"/>
      <c r="D22" s="552"/>
      <c r="E22" s="555"/>
      <c r="F22" s="549" t="s">
        <v>290</v>
      </c>
      <c r="G22" s="549" t="s">
        <v>286</v>
      </c>
      <c r="H22" s="594" t="s">
        <v>303</v>
      </c>
      <c r="I22" s="13"/>
      <c r="J22" s="555"/>
      <c r="K22" s="555" t="s">
        <v>304</v>
      </c>
      <c r="L22" s="553" t="s">
        <v>294</v>
      </c>
    </row>
    <row r="23" ht="12.75" customHeight="1">
      <c r="A23" s="59"/>
      <c r="B23" s="588" t="s">
        <v>93</v>
      </c>
      <c r="C23" s="595"/>
      <c r="D23" s="552"/>
      <c r="E23" s="552"/>
      <c r="G23" s="549" t="s">
        <v>290</v>
      </c>
      <c r="H23" s="596" t="s">
        <v>305</v>
      </c>
      <c r="I23" s="12"/>
      <c r="J23" s="13"/>
      <c r="K23" s="557" t="s">
        <v>294</v>
      </c>
      <c r="L23" s="577" t="s">
        <v>304</v>
      </c>
    </row>
    <row r="24" ht="12.75" customHeight="1">
      <c r="A24" s="211"/>
      <c r="B24" s="597" t="s">
        <v>94</v>
      </c>
      <c r="C24" s="598"/>
      <c r="D24" s="599"/>
      <c r="E24" s="600"/>
      <c r="F24" s="600"/>
      <c r="G24" s="600"/>
      <c r="H24" s="600"/>
      <c r="I24" s="601"/>
      <c r="J24" s="601"/>
      <c r="K24" s="602"/>
      <c r="L24" s="603"/>
    </row>
    <row r="25" ht="12.75" customHeight="1">
      <c r="A25" s="188" t="s">
        <v>161</v>
      </c>
      <c r="B25" s="189" t="s">
        <v>75</v>
      </c>
      <c r="C25" s="231" t="s">
        <v>306</v>
      </c>
      <c r="D25" s="38"/>
      <c r="E25" s="38"/>
      <c r="F25" s="38"/>
      <c r="G25" s="38"/>
      <c r="H25" s="38"/>
      <c r="I25" s="38"/>
      <c r="J25" s="38"/>
      <c r="K25" s="38"/>
      <c r="L25" s="40"/>
    </row>
    <row r="26" ht="12.75" customHeight="1">
      <c r="A26" s="59"/>
      <c r="B26" s="196" t="s">
        <v>81</v>
      </c>
      <c r="C26" s="604" t="s">
        <v>307</v>
      </c>
      <c r="D26" s="280"/>
      <c r="E26" s="280"/>
      <c r="F26" s="280"/>
      <c r="G26" s="280"/>
      <c r="H26" s="280"/>
      <c r="I26" s="280"/>
      <c r="J26" s="280"/>
      <c r="K26" s="280"/>
      <c r="L26" s="281"/>
    </row>
    <row r="27" ht="12.75" customHeight="1">
      <c r="A27" s="59"/>
      <c r="B27" s="196" t="s">
        <v>83</v>
      </c>
      <c r="C27" s="604" t="s">
        <v>308</v>
      </c>
      <c r="D27" s="280"/>
      <c r="E27" s="280"/>
      <c r="F27" s="280"/>
      <c r="G27" s="280"/>
      <c r="H27" s="280"/>
      <c r="I27" s="280"/>
      <c r="J27" s="280"/>
      <c r="K27" s="280"/>
      <c r="L27" s="281"/>
    </row>
    <row r="28" ht="12.75" customHeight="1">
      <c r="A28" s="59"/>
      <c r="B28" s="196" t="s">
        <v>87</v>
      </c>
      <c r="C28" s="228"/>
      <c r="D28" s="552" t="s">
        <v>304</v>
      </c>
      <c r="E28" s="202"/>
      <c r="F28" s="605"/>
      <c r="G28" s="202"/>
      <c r="H28" s="606"/>
      <c r="I28" s="370"/>
      <c r="J28" s="370"/>
      <c r="K28" s="370"/>
      <c r="L28" s="371"/>
    </row>
    <row r="29" ht="12.75" customHeight="1">
      <c r="A29" s="59"/>
      <c r="B29" s="196" t="s">
        <v>92</v>
      </c>
      <c r="C29" s="592"/>
      <c r="D29" s="370"/>
      <c r="E29" s="202"/>
      <c r="F29" s="202"/>
      <c r="G29" s="202"/>
      <c r="H29" s="225"/>
      <c r="I29" s="202"/>
      <c r="J29" s="202"/>
      <c r="K29" s="555"/>
      <c r="L29" s="203"/>
    </row>
    <row r="30" ht="12.75" customHeight="1">
      <c r="A30" s="59"/>
      <c r="B30" s="196" t="s">
        <v>93</v>
      </c>
      <c r="C30" s="228"/>
      <c r="D30" s="552"/>
      <c r="E30" s="202"/>
      <c r="F30" s="202"/>
      <c r="G30" s="202"/>
      <c r="H30" s="370"/>
      <c r="I30" s="202"/>
      <c r="J30" s="370"/>
      <c r="K30" s="202"/>
      <c r="L30" s="577"/>
    </row>
    <row r="31" ht="12.75" customHeight="1">
      <c r="A31" s="211"/>
      <c r="B31" s="212" t="s">
        <v>94</v>
      </c>
      <c r="C31" s="213"/>
      <c r="D31" s="214"/>
      <c r="E31" s="180"/>
      <c r="F31" s="214"/>
      <c r="G31" s="214"/>
      <c r="H31" s="214"/>
      <c r="I31" s="214"/>
      <c r="J31" s="214"/>
      <c r="K31" s="214"/>
      <c r="L31" s="217"/>
    </row>
    <row r="32" ht="12.75" customHeight="1">
      <c r="A32" s="188" t="s">
        <v>170</v>
      </c>
      <c r="B32" s="189" t="s">
        <v>75</v>
      </c>
      <c r="C32" s="607"/>
      <c r="D32" s="559"/>
      <c r="E32" s="563" t="s">
        <v>309</v>
      </c>
      <c r="F32" s="608" t="s">
        <v>294</v>
      </c>
      <c r="G32" s="609"/>
      <c r="H32" s="609"/>
      <c r="I32" s="606" t="s">
        <v>310</v>
      </c>
      <c r="J32" s="609" t="s">
        <v>287</v>
      </c>
      <c r="K32" s="586"/>
      <c r="L32" s="577"/>
    </row>
    <row r="33" ht="12.75" customHeight="1">
      <c r="A33" s="59"/>
      <c r="B33" s="196" t="s">
        <v>81</v>
      </c>
      <c r="C33" s="610"/>
      <c r="D33" s="611"/>
      <c r="E33" s="608" t="s">
        <v>294</v>
      </c>
      <c r="F33" s="612" t="s">
        <v>295</v>
      </c>
      <c r="G33" s="572"/>
      <c r="H33" s="609" t="s">
        <v>284</v>
      </c>
      <c r="I33" s="606"/>
      <c r="J33" s="609"/>
      <c r="K33" s="555" t="s">
        <v>286</v>
      </c>
      <c r="L33" s="613"/>
    </row>
    <row r="34" ht="12.75" customHeight="1">
      <c r="A34" s="59"/>
      <c r="B34" s="196" t="s">
        <v>83</v>
      </c>
      <c r="C34" s="614"/>
      <c r="D34" s="555" t="s">
        <v>294</v>
      </c>
      <c r="E34" s="612" t="s">
        <v>295</v>
      </c>
      <c r="F34" s="555"/>
      <c r="G34" s="609" t="s">
        <v>284</v>
      </c>
      <c r="H34" s="289"/>
      <c r="I34" s="608"/>
      <c r="J34" s="608"/>
      <c r="K34" s="555" t="s">
        <v>290</v>
      </c>
      <c r="L34" s="562" t="s">
        <v>286</v>
      </c>
    </row>
    <row r="35" ht="12.75" customHeight="1">
      <c r="A35" s="59"/>
      <c r="B35" s="196" t="s">
        <v>87</v>
      </c>
      <c r="C35" s="610" t="s">
        <v>294</v>
      </c>
      <c r="D35" s="559" t="s">
        <v>295</v>
      </c>
      <c r="E35" s="33"/>
      <c r="F35" s="555"/>
      <c r="G35" s="591" t="s">
        <v>293</v>
      </c>
      <c r="H35" s="13"/>
      <c r="I35" s="535"/>
      <c r="J35" s="44"/>
      <c r="K35" s="608"/>
      <c r="L35" s="577" t="s">
        <v>290</v>
      </c>
    </row>
    <row r="36" ht="12.75" customHeight="1">
      <c r="A36" s="59"/>
      <c r="B36" s="196" t="s">
        <v>92</v>
      </c>
      <c r="C36" s="615"/>
      <c r="D36" s="616"/>
      <c r="E36" s="590"/>
      <c r="F36" s="555"/>
      <c r="G36" s="609"/>
      <c r="H36" s="555"/>
      <c r="I36" s="609" t="s">
        <v>284</v>
      </c>
      <c r="J36" s="609"/>
      <c r="K36" s="609"/>
      <c r="L36" s="617"/>
    </row>
    <row r="37" ht="12.75" customHeight="1">
      <c r="A37" s="59"/>
      <c r="B37" s="196" t="s">
        <v>93</v>
      </c>
      <c r="C37" s="610"/>
      <c r="D37" s="616"/>
      <c r="E37" s="618"/>
      <c r="F37" s="618"/>
      <c r="G37" s="200"/>
      <c r="H37" s="609"/>
      <c r="I37" s="606"/>
      <c r="J37" s="609" t="s">
        <v>284</v>
      </c>
      <c r="K37" s="619"/>
      <c r="L37" s="617"/>
    </row>
    <row r="38" ht="12.75" customHeight="1">
      <c r="A38" s="211"/>
      <c r="B38" s="212" t="s">
        <v>94</v>
      </c>
      <c r="C38" s="620"/>
      <c r="D38" s="621"/>
      <c r="E38" s="621"/>
      <c r="F38" s="621"/>
      <c r="G38" s="214"/>
      <c r="H38" s="214"/>
      <c r="I38" s="214"/>
      <c r="J38" s="214"/>
      <c r="K38" s="214"/>
      <c r="L38" s="217"/>
    </row>
    <row r="39" ht="12.75" customHeight="1">
      <c r="A39" s="1"/>
      <c r="B39" s="246">
        <f>'1r'!C44</f>
        <v>45940</v>
      </c>
      <c r="D39" s="543" t="s">
        <v>282</v>
      </c>
    </row>
    <row r="40">
      <c r="A40" s="1"/>
      <c r="B40" s="1"/>
      <c r="C40" s="622"/>
      <c r="D40" s="1"/>
      <c r="E40" s="622"/>
      <c r="F40" s="1"/>
      <c r="G40" s="1"/>
      <c r="H40" s="1"/>
      <c r="I40" s="1"/>
      <c r="J40" s="1"/>
    </row>
  </sheetData>
  <mergeCells count="29">
    <mergeCell ref="C7:L7"/>
    <mergeCell ref="C8:L8"/>
    <mergeCell ref="E2:F2"/>
    <mergeCell ref="E11:F11"/>
    <mergeCell ref="C12:D12"/>
    <mergeCell ref="E13:F13"/>
    <mergeCell ref="A18:A24"/>
    <mergeCell ref="A25:A31"/>
    <mergeCell ref="A32:A38"/>
    <mergeCell ref="G35:H35"/>
    <mergeCell ref="B39:C39"/>
    <mergeCell ref="D39:J39"/>
    <mergeCell ref="C14:L14"/>
    <mergeCell ref="C15:L15"/>
    <mergeCell ref="C17:L17"/>
    <mergeCell ref="I20:J20"/>
    <mergeCell ref="K21:L21"/>
    <mergeCell ref="H22:I22"/>
    <mergeCell ref="H23:J23"/>
    <mergeCell ref="C25:L25"/>
    <mergeCell ref="C26:L26"/>
    <mergeCell ref="C27:L27"/>
    <mergeCell ref="B1:L1"/>
    <mergeCell ref="C2:D2"/>
    <mergeCell ref="G2:H2"/>
    <mergeCell ref="I2:J2"/>
    <mergeCell ref="K2:L2"/>
    <mergeCell ref="A4:A10"/>
    <mergeCell ref="A11:A1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4.5"/>
    <col customWidth="1" min="3" max="5" width="9.63"/>
    <col customWidth="1" min="6" max="6" width="11.38"/>
    <col customWidth="1" min="7" max="10" width="9.75"/>
    <col customWidth="1" min="11" max="11" width="9.88"/>
    <col customWidth="1" min="12" max="12" width="7.5"/>
    <col customWidth="1" min="13" max="13" width="4.0"/>
    <col customWidth="1" min="14" max="14" width="5.63"/>
    <col customWidth="1" min="15" max="15" width="9.88"/>
    <col customWidth="1" min="16" max="16" width="10.75"/>
    <col customWidth="1" min="17" max="17" width="9.88"/>
    <col customWidth="1" min="18" max="18" width="10.0"/>
    <col customWidth="1" min="19" max="19" width="11.75"/>
    <col customWidth="1" min="20" max="20" width="10.13"/>
    <col customWidth="1" min="21" max="21" width="10.38"/>
    <col customWidth="1" min="22" max="22" width="10.13"/>
    <col customWidth="1" min="23" max="23" width="11.0"/>
    <col customWidth="1" min="24" max="24" width="10.25"/>
  </cols>
  <sheetData>
    <row r="1" ht="12.75" customHeight="1">
      <c r="A1" s="76"/>
      <c r="B1" s="623" t="s">
        <v>311</v>
      </c>
      <c r="K1" s="76"/>
      <c r="L1" s="76"/>
      <c r="M1" s="76"/>
      <c r="N1" s="624" t="s">
        <v>312</v>
      </c>
      <c r="O1" s="91"/>
      <c r="P1" s="91"/>
      <c r="Q1" s="91"/>
      <c r="R1" s="91"/>
      <c r="S1" s="91"/>
      <c r="T1" s="91"/>
      <c r="U1" s="91"/>
      <c r="V1" s="91"/>
      <c r="W1" s="91"/>
      <c r="X1" s="91"/>
    </row>
    <row r="2" ht="12.75" customHeight="1">
      <c r="A2" s="76"/>
      <c r="B2" s="81"/>
      <c r="C2" s="625">
        <v>30241.0</v>
      </c>
      <c r="D2" s="10"/>
      <c r="E2" s="625">
        <v>30242.0</v>
      </c>
      <c r="F2" s="7"/>
      <c r="G2" s="626">
        <v>30243.0</v>
      </c>
      <c r="H2" s="10"/>
      <c r="I2" s="626">
        <v>30244.0</v>
      </c>
      <c r="J2" s="10"/>
      <c r="K2" s="627" t="s">
        <v>313</v>
      </c>
      <c r="L2" s="76"/>
      <c r="M2" s="76"/>
      <c r="N2" s="628"/>
      <c r="O2" s="625">
        <v>30641.0</v>
      </c>
      <c r="P2" s="10"/>
      <c r="Q2" s="625">
        <v>30642.0</v>
      </c>
      <c r="R2" s="10"/>
      <c r="S2" s="626">
        <v>30643.0</v>
      </c>
      <c r="T2" s="7"/>
      <c r="U2" s="626">
        <v>30644.0</v>
      </c>
      <c r="V2" s="7"/>
      <c r="W2" s="629">
        <v>30645.0</v>
      </c>
      <c r="X2" s="40"/>
    </row>
    <row r="3" ht="13.5" customHeight="1">
      <c r="A3" s="79"/>
      <c r="B3" s="88"/>
      <c r="C3" s="630">
        <v>1.0</v>
      </c>
      <c r="D3" s="630">
        <v>2.0</v>
      </c>
      <c r="E3" s="630">
        <v>1.0</v>
      </c>
      <c r="F3" s="631">
        <v>2.0</v>
      </c>
      <c r="G3" s="631">
        <v>1.0</v>
      </c>
      <c r="H3" s="630">
        <v>2.0</v>
      </c>
      <c r="I3" s="630">
        <v>1.0</v>
      </c>
      <c r="J3" s="632">
        <v>2.0</v>
      </c>
      <c r="K3" s="123"/>
      <c r="L3" s="76"/>
      <c r="M3" s="79"/>
      <c r="N3" s="633"/>
      <c r="O3" s="634">
        <v>1.0</v>
      </c>
      <c r="P3" s="634">
        <v>2.0</v>
      </c>
      <c r="Q3" s="634">
        <v>1.0</v>
      </c>
      <c r="R3" s="635">
        <v>2.0</v>
      </c>
      <c r="S3" s="636">
        <v>1.0</v>
      </c>
      <c r="T3" s="637">
        <v>2.0</v>
      </c>
      <c r="U3" s="634">
        <v>1.0</v>
      </c>
      <c r="V3" s="634">
        <v>2.0</v>
      </c>
      <c r="W3" s="634">
        <v>1.0</v>
      </c>
      <c r="X3" s="635">
        <v>2.0</v>
      </c>
    </row>
    <row r="4" ht="12.75" customHeight="1">
      <c r="A4" s="638" t="s">
        <v>74</v>
      </c>
      <c r="B4" s="639" t="s">
        <v>75</v>
      </c>
      <c r="C4" s="640" t="s">
        <v>314</v>
      </c>
      <c r="D4" s="6"/>
      <c r="E4" s="6"/>
      <c r="F4" s="6"/>
      <c r="G4" s="6"/>
      <c r="H4" s="6"/>
      <c r="I4" s="6"/>
      <c r="J4" s="10"/>
      <c r="K4" s="641"/>
      <c r="L4" s="642"/>
      <c r="M4" s="643" t="s">
        <v>74</v>
      </c>
      <c r="N4" s="644" t="s">
        <v>75</v>
      </c>
      <c r="O4" s="645" t="s">
        <v>315</v>
      </c>
      <c r="P4" s="38"/>
      <c r="Q4" s="38"/>
      <c r="R4" s="38"/>
      <c r="S4" s="38"/>
      <c r="T4" s="38"/>
      <c r="U4" s="38"/>
      <c r="V4" s="38"/>
      <c r="W4" s="38"/>
      <c r="X4" s="40"/>
    </row>
    <row r="5" ht="12.75" customHeight="1">
      <c r="A5" s="105"/>
      <c r="B5" s="639" t="s">
        <v>81</v>
      </c>
      <c r="C5" s="646" t="s">
        <v>316</v>
      </c>
      <c r="D5" s="38"/>
      <c r="E5" s="38"/>
      <c r="F5" s="38"/>
      <c r="G5" s="38"/>
      <c r="H5" s="38"/>
      <c r="I5" s="38"/>
      <c r="J5" s="40"/>
      <c r="K5" s="647"/>
      <c r="L5" s="642"/>
      <c r="M5" s="46"/>
      <c r="N5" s="644" t="s">
        <v>81</v>
      </c>
      <c r="O5" s="645" t="s">
        <v>317</v>
      </c>
      <c r="P5" s="38"/>
      <c r="Q5" s="38"/>
      <c r="R5" s="38"/>
      <c r="S5" s="38"/>
      <c r="T5" s="38"/>
      <c r="U5" s="38"/>
      <c r="V5" s="38"/>
      <c r="W5" s="38"/>
      <c r="X5" s="40"/>
    </row>
    <row r="6" ht="12.75" customHeight="1">
      <c r="A6" s="105"/>
      <c r="B6" s="639" t="s">
        <v>83</v>
      </c>
      <c r="C6" s="648" t="s">
        <v>318</v>
      </c>
      <c r="D6" s="38"/>
      <c r="E6" s="38"/>
      <c r="F6" s="40"/>
      <c r="G6" s="649"/>
      <c r="H6" s="464" t="s">
        <v>319</v>
      </c>
      <c r="I6" s="464"/>
      <c r="J6" s="290"/>
      <c r="K6" s="647"/>
      <c r="L6" s="642"/>
      <c r="M6" s="46"/>
      <c r="N6" s="644" t="s">
        <v>83</v>
      </c>
      <c r="O6" s="650" t="s">
        <v>318</v>
      </c>
      <c r="P6" s="38"/>
      <c r="Q6" s="38"/>
      <c r="R6" s="38"/>
      <c r="S6" s="38"/>
      <c r="T6" s="40"/>
      <c r="U6" s="39"/>
      <c r="V6" s="651"/>
      <c r="W6" s="289"/>
      <c r="X6" s="290"/>
    </row>
    <row r="7" ht="12.75" customHeight="1">
      <c r="A7" s="105"/>
      <c r="B7" s="639" t="s">
        <v>87</v>
      </c>
      <c r="C7" s="141"/>
      <c r="D7" s="142"/>
      <c r="E7" s="142"/>
      <c r="F7" s="147"/>
      <c r="G7" s="652" t="s">
        <v>319</v>
      </c>
      <c r="H7" s="653"/>
      <c r="I7" s="146"/>
      <c r="J7" s="654" t="s">
        <v>320</v>
      </c>
      <c r="K7" s="647"/>
      <c r="L7" s="642"/>
      <c r="M7" s="46"/>
      <c r="N7" s="644" t="s">
        <v>87</v>
      </c>
      <c r="O7" s="652"/>
      <c r="P7" s="655"/>
      <c r="Q7" s="142"/>
      <c r="R7" s="656"/>
      <c r="S7" s="657"/>
      <c r="T7" s="658"/>
      <c r="U7" s="659"/>
      <c r="V7" s="656"/>
      <c r="W7" s="660" t="s">
        <v>321</v>
      </c>
      <c r="X7" s="661"/>
    </row>
    <row r="8" ht="7.5" customHeight="1">
      <c r="A8" s="105"/>
      <c r="B8" s="662" t="s">
        <v>92</v>
      </c>
      <c r="C8" s="663" t="s">
        <v>322</v>
      </c>
      <c r="D8" s="664"/>
      <c r="E8" s="665"/>
      <c r="F8" s="666"/>
      <c r="H8" s="660"/>
      <c r="I8" s="667" t="s">
        <v>320</v>
      </c>
      <c r="J8" s="668" t="s">
        <v>323</v>
      </c>
      <c r="K8" s="647"/>
      <c r="L8" s="642"/>
      <c r="M8" s="46"/>
      <c r="N8" s="669" t="s">
        <v>92</v>
      </c>
      <c r="O8" s="670" t="s">
        <v>324</v>
      </c>
      <c r="P8" s="664"/>
      <c r="Q8" s="671" t="s">
        <v>325</v>
      </c>
      <c r="R8" s="660"/>
      <c r="S8" s="672"/>
      <c r="T8" s="673"/>
      <c r="U8" s="674"/>
      <c r="V8" s="671"/>
      <c r="W8" s="289"/>
      <c r="X8" s="290"/>
    </row>
    <row r="9" ht="6.0" customHeight="1">
      <c r="A9" s="105"/>
      <c r="B9" s="38"/>
      <c r="C9" s="28"/>
      <c r="D9" s="289"/>
      <c r="E9" s="289"/>
      <c r="F9" s="290"/>
      <c r="H9" s="289"/>
      <c r="I9" s="39"/>
      <c r="J9" s="290"/>
      <c r="K9" s="675" t="s">
        <v>326</v>
      </c>
      <c r="L9" s="642"/>
      <c r="M9" s="46"/>
      <c r="N9" s="40"/>
      <c r="O9" s="39"/>
      <c r="P9" s="289"/>
      <c r="Q9" s="289"/>
      <c r="R9" s="289"/>
      <c r="S9" s="289"/>
      <c r="T9" s="290"/>
      <c r="U9" s="38"/>
      <c r="V9" s="289"/>
      <c r="W9" s="676"/>
      <c r="X9" s="673" t="s">
        <v>321</v>
      </c>
    </row>
    <row r="10" ht="12.75" customHeight="1">
      <c r="A10" s="105"/>
      <c r="B10" s="639" t="s">
        <v>93</v>
      </c>
      <c r="C10" s="150"/>
      <c r="D10" s="656" t="s">
        <v>322</v>
      </c>
      <c r="E10" s="445"/>
      <c r="F10" s="677"/>
      <c r="G10" s="444"/>
      <c r="H10" s="656"/>
      <c r="I10" s="678" t="s">
        <v>323</v>
      </c>
      <c r="J10" s="654"/>
      <c r="K10" s="679"/>
      <c r="L10" s="642"/>
      <c r="M10" s="46"/>
      <c r="N10" s="644" t="s">
        <v>93</v>
      </c>
      <c r="O10" s="418"/>
      <c r="P10" s="656" t="s">
        <v>327</v>
      </c>
      <c r="Q10" s="656"/>
      <c r="R10" s="656" t="s">
        <v>328</v>
      </c>
      <c r="S10" s="656"/>
      <c r="T10" s="680"/>
      <c r="U10" s="659"/>
      <c r="V10" s="656"/>
      <c r="W10" s="289"/>
      <c r="X10" s="290"/>
    </row>
    <row r="11" ht="14.25" customHeight="1">
      <c r="A11" s="123"/>
      <c r="B11" s="681" t="s">
        <v>94</v>
      </c>
      <c r="C11" s="520"/>
      <c r="D11" s="682"/>
      <c r="E11" s="520"/>
      <c r="F11" s="521"/>
      <c r="G11" s="683"/>
      <c r="H11" s="520"/>
      <c r="I11" s="520"/>
      <c r="J11" s="521"/>
      <c r="K11" s="684"/>
      <c r="L11" s="642"/>
      <c r="M11" s="92"/>
      <c r="N11" s="681" t="s">
        <v>94</v>
      </c>
      <c r="O11" s="685"/>
      <c r="P11" s="686"/>
      <c r="Q11" s="682"/>
      <c r="R11" s="686"/>
      <c r="S11" s="686"/>
      <c r="T11" s="687"/>
      <c r="U11" s="688"/>
      <c r="V11" s="688"/>
      <c r="W11" s="688"/>
      <c r="X11" s="689"/>
    </row>
    <row r="12" ht="12.75" customHeight="1">
      <c r="A12" s="638" t="s">
        <v>95</v>
      </c>
      <c r="B12" s="639" t="s">
        <v>75</v>
      </c>
      <c r="C12" s="690" t="s">
        <v>329</v>
      </c>
      <c r="D12" s="289"/>
      <c r="E12" s="651" t="s">
        <v>322</v>
      </c>
      <c r="F12" s="691"/>
      <c r="G12" s="692" t="s">
        <v>326</v>
      </c>
      <c r="H12" s="693" t="s">
        <v>330</v>
      </c>
      <c r="I12" s="468"/>
      <c r="J12" s="694"/>
      <c r="K12" s="641"/>
      <c r="L12" s="642"/>
      <c r="M12" s="643" t="s">
        <v>95</v>
      </c>
      <c r="N12" s="644" t="s">
        <v>75</v>
      </c>
      <c r="O12" s="695" t="s">
        <v>331</v>
      </c>
      <c r="P12" s="696" t="s">
        <v>332</v>
      </c>
      <c r="Q12" s="697"/>
      <c r="R12" s="697"/>
      <c r="S12" s="697"/>
      <c r="T12" s="698"/>
      <c r="U12" s="699"/>
      <c r="V12" s="289"/>
      <c r="W12" s="693" t="s">
        <v>333</v>
      </c>
      <c r="X12" s="700"/>
    </row>
    <row r="13" ht="9.0" customHeight="1">
      <c r="A13" s="105"/>
      <c r="B13" s="662" t="s">
        <v>81</v>
      </c>
      <c r="C13" s="484"/>
      <c r="D13" s="701" t="s">
        <v>329</v>
      </c>
      <c r="E13" s="701"/>
      <c r="F13" s="673" t="s">
        <v>322</v>
      </c>
      <c r="G13" s="39"/>
      <c r="H13" s="289"/>
      <c r="I13" s="702"/>
      <c r="J13" s="666" t="s">
        <v>334</v>
      </c>
      <c r="K13" s="703"/>
      <c r="L13" s="642"/>
      <c r="M13" s="46"/>
      <c r="N13" s="704" t="s">
        <v>81</v>
      </c>
      <c r="O13" s="28"/>
      <c r="P13" s="289"/>
      <c r="Q13" s="702"/>
      <c r="R13" s="702"/>
      <c r="S13" s="702"/>
      <c r="T13" s="673"/>
      <c r="U13" s="670"/>
      <c r="V13" s="705"/>
      <c r="W13" s="535"/>
      <c r="X13" s="706"/>
    </row>
    <row r="14" ht="5.25" customHeight="1">
      <c r="A14" s="105"/>
      <c r="B14" s="38"/>
      <c r="C14" s="28"/>
      <c r="D14" s="289"/>
      <c r="E14" s="289"/>
      <c r="F14" s="290"/>
      <c r="G14" s="670" t="s">
        <v>330</v>
      </c>
      <c r="H14" s="660" t="s">
        <v>326</v>
      </c>
      <c r="I14" s="289"/>
      <c r="J14" s="290"/>
      <c r="K14" s="679"/>
      <c r="L14" s="642"/>
      <c r="M14" s="46"/>
      <c r="N14" s="38"/>
      <c r="O14" s="707" t="s">
        <v>332</v>
      </c>
      <c r="P14" s="660" t="s">
        <v>331</v>
      </c>
      <c r="Q14" s="289"/>
      <c r="R14" s="289"/>
      <c r="S14" s="289"/>
      <c r="T14" s="290"/>
      <c r="U14" s="39"/>
      <c r="V14" s="289"/>
      <c r="W14" s="289"/>
      <c r="X14" s="290"/>
    </row>
    <row r="15" ht="12.75" customHeight="1">
      <c r="A15" s="105"/>
      <c r="B15" s="639" t="s">
        <v>83</v>
      </c>
      <c r="C15" s="708"/>
      <c r="D15" s="475"/>
      <c r="E15" s="445" t="s">
        <v>329</v>
      </c>
      <c r="F15" s="455"/>
      <c r="G15" s="39"/>
      <c r="H15" s="289"/>
      <c r="I15" s="445" t="s">
        <v>334</v>
      </c>
      <c r="J15" s="709"/>
      <c r="K15" s="647"/>
      <c r="L15" s="642"/>
      <c r="M15" s="46"/>
      <c r="N15" s="644" t="s">
        <v>83</v>
      </c>
      <c r="O15" s="28"/>
      <c r="P15" s="289"/>
      <c r="Q15" s="655"/>
      <c r="R15" s="655"/>
      <c r="S15" s="475"/>
      <c r="T15" s="455"/>
      <c r="U15" s="652"/>
      <c r="V15" s="656"/>
      <c r="W15" s="656"/>
      <c r="X15" s="698" t="s">
        <v>335</v>
      </c>
    </row>
    <row r="16" ht="12.0" customHeight="1">
      <c r="A16" s="105"/>
      <c r="B16" s="639" t="s">
        <v>87</v>
      </c>
      <c r="C16" s="708"/>
      <c r="D16" s="475"/>
      <c r="E16" s="445"/>
      <c r="F16" s="455" t="s">
        <v>329</v>
      </c>
      <c r="G16" s="652"/>
      <c r="H16" s="475"/>
      <c r="I16" s="660" t="s">
        <v>326</v>
      </c>
      <c r="J16" s="673" t="s">
        <v>330</v>
      </c>
      <c r="K16" s="647"/>
      <c r="L16" s="642"/>
      <c r="M16" s="46"/>
      <c r="N16" s="644" t="s">
        <v>87</v>
      </c>
      <c r="O16" s="710"/>
      <c r="P16" s="655"/>
      <c r="Q16" s="660" t="s">
        <v>331</v>
      </c>
      <c r="R16" s="711"/>
      <c r="S16" s="445" t="s">
        <v>336</v>
      </c>
      <c r="T16" s="455" t="s">
        <v>337</v>
      </c>
      <c r="U16" s="659"/>
      <c r="V16" s="656"/>
      <c r="W16" s="656" t="s">
        <v>335</v>
      </c>
      <c r="X16" s="680"/>
    </row>
    <row r="17" ht="10.5" customHeight="1">
      <c r="A17" s="105"/>
      <c r="B17" s="662" t="s">
        <v>92</v>
      </c>
      <c r="C17" s="663"/>
      <c r="D17" s="712"/>
      <c r="E17" s="660"/>
      <c r="F17" s="666"/>
      <c r="H17" s="712"/>
      <c r="I17" s="289"/>
      <c r="J17" s="290"/>
      <c r="K17" s="703"/>
      <c r="L17" s="642"/>
      <c r="M17" s="46"/>
      <c r="N17" s="669" t="s">
        <v>92</v>
      </c>
      <c r="O17" s="713"/>
      <c r="P17" s="33"/>
      <c r="Q17" s="289"/>
      <c r="R17" s="289"/>
      <c r="S17" s="714"/>
      <c r="T17" s="35"/>
      <c r="U17" s="670" t="s">
        <v>336</v>
      </c>
      <c r="V17" s="660" t="s">
        <v>338</v>
      </c>
      <c r="W17" s="660" t="s">
        <v>339</v>
      </c>
      <c r="X17" s="673"/>
    </row>
    <row r="18" ht="3.75" customHeight="1">
      <c r="A18" s="105"/>
      <c r="B18" s="38"/>
      <c r="C18" s="28"/>
      <c r="D18" s="289"/>
      <c r="E18" s="289"/>
      <c r="F18" s="290"/>
      <c r="H18" s="289"/>
      <c r="I18" s="660" t="s">
        <v>330</v>
      </c>
      <c r="J18" s="673" t="s">
        <v>326</v>
      </c>
      <c r="K18" s="679"/>
      <c r="L18" s="642"/>
      <c r="M18" s="46"/>
      <c r="N18" s="40"/>
      <c r="O18" s="60"/>
      <c r="P18" s="39"/>
      <c r="Q18" s="715"/>
      <c r="R18" s="660" t="s">
        <v>331</v>
      </c>
      <c r="S18" s="37"/>
      <c r="T18" s="40"/>
      <c r="U18" s="39"/>
      <c r="V18" s="289"/>
      <c r="W18" s="289"/>
      <c r="X18" s="290"/>
    </row>
    <row r="19" ht="12.75" customHeight="1">
      <c r="A19" s="105"/>
      <c r="B19" s="639" t="s">
        <v>93</v>
      </c>
      <c r="C19" s="716" t="s">
        <v>340</v>
      </c>
      <c r="D19" s="32"/>
      <c r="E19" s="32"/>
      <c r="F19" s="32"/>
      <c r="G19" s="32"/>
      <c r="H19" s="33"/>
      <c r="I19" s="289"/>
      <c r="J19" s="290"/>
      <c r="K19" s="647"/>
      <c r="L19" s="642"/>
      <c r="M19" s="46"/>
      <c r="N19" s="717" t="s">
        <v>93</v>
      </c>
      <c r="O19" s="718"/>
      <c r="P19" s="12"/>
      <c r="Q19" s="13"/>
      <c r="R19" s="289"/>
      <c r="S19" s="719"/>
      <c r="T19" s="16"/>
      <c r="U19" s="652" t="s">
        <v>338</v>
      </c>
      <c r="V19" s="656" t="s">
        <v>336</v>
      </c>
      <c r="W19" s="720"/>
      <c r="X19" s="721" t="s">
        <v>339</v>
      </c>
    </row>
    <row r="20" ht="12.75" customHeight="1">
      <c r="A20" s="123"/>
      <c r="B20" s="681" t="s">
        <v>94</v>
      </c>
      <c r="C20" s="688"/>
      <c r="D20" s="688"/>
      <c r="E20" s="722"/>
      <c r="F20" s="521"/>
      <c r="G20" s="723"/>
      <c r="H20" s="475"/>
      <c r="I20" s="520"/>
      <c r="J20" s="521"/>
      <c r="K20" s="684"/>
      <c r="L20" s="642"/>
      <c r="M20" s="92"/>
      <c r="N20" s="724" t="s">
        <v>94</v>
      </c>
      <c r="O20" s="685"/>
      <c r="P20" s="686"/>
      <c r="Q20" s="686"/>
      <c r="R20" s="686"/>
      <c r="S20" s="725"/>
      <c r="T20" s="726"/>
      <c r="U20" s="727"/>
      <c r="V20" s="725"/>
      <c r="W20" s="686"/>
      <c r="X20" s="726"/>
    </row>
    <row r="21" ht="12.75" customHeight="1">
      <c r="A21" s="638" t="s">
        <v>110</v>
      </c>
      <c r="B21" s="728" t="s">
        <v>75</v>
      </c>
      <c r="C21" s="699"/>
      <c r="D21" s="729"/>
      <c r="E21" s="729"/>
      <c r="F21" s="730"/>
      <c r="G21" s="731"/>
      <c r="H21" s="732"/>
      <c r="I21" s="697"/>
      <c r="J21" s="698"/>
      <c r="K21" s="641"/>
      <c r="L21" s="642"/>
      <c r="M21" s="643" t="s">
        <v>110</v>
      </c>
      <c r="N21" s="644" t="s">
        <v>75</v>
      </c>
      <c r="O21" s="733"/>
      <c r="P21" s="697"/>
      <c r="Q21" s="651"/>
      <c r="R21" s="697"/>
      <c r="S21" s="697"/>
      <c r="T21" s="698" t="s">
        <v>341</v>
      </c>
      <c r="U21" s="699"/>
      <c r="V21" s="729"/>
      <c r="W21" s="699"/>
      <c r="X21" s="730"/>
    </row>
    <row r="22" ht="8.25" customHeight="1">
      <c r="A22" s="105"/>
      <c r="B22" s="734" t="s">
        <v>81</v>
      </c>
      <c r="C22" s="735"/>
      <c r="D22" s="692"/>
      <c r="E22" s="735"/>
      <c r="F22" s="736"/>
      <c r="G22" s="737"/>
      <c r="H22" s="660"/>
      <c r="I22" s="660"/>
      <c r="J22" s="673"/>
      <c r="K22" s="703"/>
      <c r="L22" s="642"/>
      <c r="M22" s="46"/>
      <c r="N22" s="669" t="s">
        <v>81</v>
      </c>
      <c r="O22" s="738"/>
      <c r="P22" s="702"/>
      <c r="Q22" s="702"/>
      <c r="R22" s="660"/>
      <c r="S22" s="660" t="s">
        <v>341</v>
      </c>
      <c r="T22" s="673"/>
      <c r="U22" s="735"/>
      <c r="V22" s="692"/>
      <c r="W22" s="735"/>
      <c r="X22" s="736"/>
    </row>
    <row r="23" ht="5.25" customHeight="1">
      <c r="A23" s="105"/>
      <c r="B23" s="40"/>
      <c r="C23" s="39"/>
      <c r="D23" s="39"/>
      <c r="E23" s="39"/>
      <c r="F23" s="40"/>
      <c r="G23" s="39"/>
      <c r="H23" s="289"/>
      <c r="I23" s="289"/>
      <c r="J23" s="290"/>
      <c r="K23" s="679"/>
      <c r="L23" s="642"/>
      <c r="M23" s="46"/>
      <c r="N23" s="40"/>
      <c r="O23" s="28"/>
      <c r="P23" s="289"/>
      <c r="Q23" s="289"/>
      <c r="R23" s="289"/>
      <c r="S23" s="289"/>
      <c r="T23" s="290"/>
      <c r="U23" s="39"/>
      <c r="V23" s="39"/>
      <c r="W23" s="39"/>
      <c r="X23" s="40"/>
    </row>
    <row r="24" ht="12.75" customHeight="1">
      <c r="A24" s="105"/>
      <c r="B24" s="728" t="s">
        <v>83</v>
      </c>
      <c r="C24" s="729"/>
      <c r="D24" s="729"/>
      <c r="E24" s="729"/>
      <c r="F24" s="730"/>
      <c r="G24" s="659"/>
      <c r="H24" s="655"/>
      <c r="I24" s="656"/>
      <c r="J24" s="721"/>
      <c r="K24" s="647"/>
      <c r="L24" s="642"/>
      <c r="M24" s="46"/>
      <c r="N24" s="644" t="s">
        <v>83</v>
      </c>
      <c r="O24" s="710"/>
      <c r="P24" s="655"/>
      <c r="Q24" s="655"/>
      <c r="R24" s="655"/>
      <c r="S24" s="655"/>
      <c r="T24" s="739"/>
      <c r="U24" s="729"/>
      <c r="V24" s="729"/>
      <c r="W24" s="729"/>
      <c r="X24" s="730"/>
    </row>
    <row r="25" ht="12.75" customHeight="1">
      <c r="A25" s="105"/>
      <c r="B25" s="94" t="s">
        <v>87</v>
      </c>
      <c r="C25" s="740" t="s">
        <v>342</v>
      </c>
      <c r="D25" s="38"/>
      <c r="E25" s="38"/>
      <c r="F25" s="40"/>
      <c r="G25" s="740" t="s">
        <v>343</v>
      </c>
      <c r="H25" s="38"/>
      <c r="I25" s="38"/>
      <c r="J25" s="40"/>
      <c r="K25" s="741"/>
      <c r="L25" s="742"/>
      <c r="M25" s="46"/>
      <c r="N25" s="743" t="s">
        <v>87</v>
      </c>
      <c r="O25" s="744" t="s">
        <v>344</v>
      </c>
      <c r="P25" s="38"/>
      <c r="Q25" s="38"/>
      <c r="R25" s="38"/>
      <c r="S25" s="38"/>
      <c r="T25" s="40"/>
      <c r="U25" s="745" t="s">
        <v>345</v>
      </c>
      <c r="V25" s="38"/>
      <c r="W25" s="38"/>
      <c r="X25" s="40"/>
    </row>
    <row r="26" ht="12.75" customHeight="1">
      <c r="A26" s="105"/>
      <c r="B26" s="94" t="s">
        <v>92</v>
      </c>
      <c r="C26" s="740" t="s">
        <v>346</v>
      </c>
      <c r="D26" s="38"/>
      <c r="E26" s="38"/>
      <c r="F26" s="40"/>
      <c r="G26" s="740" t="s">
        <v>347</v>
      </c>
      <c r="H26" s="38"/>
      <c r="I26" s="38"/>
      <c r="J26" s="40"/>
      <c r="K26" s="741"/>
      <c r="L26" s="742"/>
      <c r="M26" s="46"/>
      <c r="N26" s="743" t="s">
        <v>92</v>
      </c>
      <c r="O26" s="744" t="s">
        <v>348</v>
      </c>
      <c r="P26" s="38"/>
      <c r="Q26" s="38"/>
      <c r="R26" s="38"/>
      <c r="S26" s="38"/>
      <c r="T26" s="40"/>
      <c r="U26" s="740" t="s">
        <v>349</v>
      </c>
      <c r="V26" s="38"/>
      <c r="W26" s="38"/>
      <c r="X26" s="40"/>
    </row>
    <row r="27" ht="12.75" customHeight="1">
      <c r="A27" s="105"/>
      <c r="B27" s="94" t="s">
        <v>93</v>
      </c>
      <c r="C27" s="740" t="s">
        <v>350</v>
      </c>
      <c r="D27" s="38"/>
      <c r="E27" s="38"/>
      <c r="F27" s="40"/>
      <c r="G27" s="740" t="s">
        <v>351</v>
      </c>
      <c r="H27" s="38"/>
      <c r="I27" s="38"/>
      <c r="J27" s="40"/>
      <c r="K27" s="741"/>
      <c r="L27" s="742"/>
      <c r="M27" s="46"/>
      <c r="N27" s="743" t="s">
        <v>93</v>
      </c>
      <c r="O27" s="740" t="s">
        <v>352</v>
      </c>
      <c r="P27" s="38"/>
      <c r="Q27" s="38"/>
      <c r="R27" s="38"/>
      <c r="S27" s="38"/>
      <c r="T27" s="38"/>
      <c r="U27" s="744" t="s">
        <v>353</v>
      </c>
      <c r="V27" s="38"/>
      <c r="W27" s="38"/>
      <c r="X27" s="40"/>
    </row>
    <row r="28" ht="12.0" customHeight="1">
      <c r="A28" s="123"/>
      <c r="B28" s="681" t="s">
        <v>94</v>
      </c>
      <c r="C28" s="746" t="s">
        <v>354</v>
      </c>
      <c r="D28" s="91"/>
      <c r="E28" s="91"/>
      <c r="F28" s="91"/>
      <c r="G28" s="91"/>
      <c r="H28" s="91"/>
      <c r="I28" s="91"/>
      <c r="J28" s="92"/>
      <c r="K28" s="684"/>
      <c r="L28" s="642"/>
      <c r="M28" s="92"/>
      <c r="N28" s="747" t="s">
        <v>94</v>
      </c>
      <c r="O28" s="748" t="s">
        <v>354</v>
      </c>
      <c r="P28" s="91"/>
      <c r="Q28" s="91"/>
      <c r="R28" s="91"/>
      <c r="S28" s="91"/>
      <c r="T28" s="91"/>
      <c r="U28" s="91"/>
      <c r="V28" s="91"/>
      <c r="W28" s="91"/>
      <c r="X28" s="92"/>
    </row>
    <row r="29" ht="12.75" customHeight="1">
      <c r="A29" s="638" t="s">
        <v>114</v>
      </c>
      <c r="B29" s="639" t="s">
        <v>75</v>
      </c>
      <c r="C29" s="695" t="s">
        <v>326</v>
      </c>
      <c r="D29" s="693" t="s">
        <v>355</v>
      </c>
      <c r="E29" s="106"/>
      <c r="F29" s="677"/>
      <c r="G29" s="444"/>
      <c r="H29" s="656"/>
      <c r="I29" s="289"/>
      <c r="J29" s="721"/>
      <c r="K29" s="641"/>
      <c r="L29" s="642"/>
      <c r="M29" s="643" t="s">
        <v>114</v>
      </c>
      <c r="N29" s="644" t="s">
        <v>75</v>
      </c>
      <c r="O29" s="651" t="s">
        <v>341</v>
      </c>
      <c r="P29" s="651"/>
      <c r="Q29" s="651"/>
      <c r="R29" s="697"/>
      <c r="S29" s="749" t="s">
        <v>356</v>
      </c>
      <c r="T29" s="696" t="s">
        <v>357</v>
      </c>
      <c r="U29" s="750" t="s">
        <v>358</v>
      </c>
      <c r="V29" s="693" t="s">
        <v>359</v>
      </c>
      <c r="W29" s="751"/>
      <c r="X29" s="700"/>
    </row>
    <row r="30" ht="6.75" customHeight="1">
      <c r="A30" s="105"/>
      <c r="B30" s="662" t="s">
        <v>81</v>
      </c>
      <c r="C30" s="28"/>
      <c r="D30" s="289"/>
      <c r="E30" s="664"/>
      <c r="F30" s="752"/>
      <c r="G30" s="670"/>
      <c r="H30" s="701"/>
      <c r="I30" s="660"/>
      <c r="J30" s="673"/>
      <c r="K30" s="703"/>
      <c r="L30" s="642"/>
      <c r="M30" s="46"/>
      <c r="N30" s="753" t="s">
        <v>81</v>
      </c>
      <c r="O30" s="738"/>
      <c r="P30" s="660" t="s">
        <v>341</v>
      </c>
      <c r="Q30" s="711"/>
      <c r="R30" s="660"/>
      <c r="S30" s="289"/>
      <c r="T30" s="289"/>
      <c r="U30" s="39"/>
      <c r="V30" s="289"/>
      <c r="W30" s="289"/>
      <c r="X30" s="290"/>
    </row>
    <row r="31" ht="6.75" customHeight="1">
      <c r="A31" s="105"/>
      <c r="B31" s="38"/>
      <c r="C31" s="754" t="s">
        <v>355</v>
      </c>
      <c r="D31" s="660" t="s">
        <v>360</v>
      </c>
      <c r="E31" s="289"/>
      <c r="F31" s="290"/>
      <c r="G31" s="39"/>
      <c r="H31" s="289"/>
      <c r="I31" s="289"/>
      <c r="J31" s="290"/>
      <c r="K31" s="679"/>
      <c r="L31" s="642"/>
      <c r="M31" s="46"/>
      <c r="N31" s="40"/>
      <c r="O31" s="28"/>
      <c r="P31" s="289"/>
      <c r="Q31" s="289"/>
      <c r="R31" s="289"/>
      <c r="S31" s="755" t="s">
        <v>357</v>
      </c>
      <c r="T31" s="673" t="s">
        <v>361</v>
      </c>
      <c r="U31" s="670" t="s">
        <v>359</v>
      </c>
      <c r="V31" s="660" t="s">
        <v>358</v>
      </c>
      <c r="W31" s="660"/>
      <c r="X31" s="673"/>
    </row>
    <row r="32" ht="11.25" customHeight="1">
      <c r="A32" s="105"/>
      <c r="B32" s="639" t="s">
        <v>83</v>
      </c>
      <c r="C32" s="28"/>
      <c r="D32" s="289"/>
      <c r="E32" s="756"/>
      <c r="F32" s="757"/>
      <c r="G32" s="758"/>
      <c r="H32" s="756"/>
      <c r="I32" s="756"/>
      <c r="J32" s="757"/>
      <c r="K32" s="647"/>
      <c r="L32" s="642"/>
      <c r="M32" s="46"/>
      <c r="N32" s="759" t="s">
        <v>83</v>
      </c>
      <c r="O32" s="760"/>
      <c r="P32" s="756"/>
      <c r="Q32" s="656" t="s">
        <v>341</v>
      </c>
      <c r="R32" s="756"/>
      <c r="S32" s="289"/>
      <c r="T32" s="290"/>
      <c r="U32" s="39"/>
      <c r="V32" s="289"/>
      <c r="W32" s="289"/>
      <c r="X32" s="290"/>
    </row>
    <row r="33" ht="11.25" customHeight="1">
      <c r="A33" s="105"/>
      <c r="B33" s="728" t="s">
        <v>87</v>
      </c>
      <c r="C33" s="146"/>
      <c r="D33" s="146"/>
      <c r="E33" s="660" t="s">
        <v>360</v>
      </c>
      <c r="F33" s="673" t="s">
        <v>355</v>
      </c>
      <c r="G33" s="444"/>
      <c r="H33" s="445"/>
      <c r="I33" s="656"/>
      <c r="J33" s="721"/>
      <c r="K33" s="647"/>
      <c r="L33" s="642"/>
      <c r="M33" s="46"/>
      <c r="N33" s="761" t="s">
        <v>87</v>
      </c>
      <c r="O33" s="660" t="s">
        <v>362</v>
      </c>
      <c r="P33" s="702"/>
      <c r="Q33" s="656"/>
      <c r="R33" s="656" t="s">
        <v>341</v>
      </c>
      <c r="S33" s="660"/>
      <c r="T33" s="762"/>
      <c r="U33" s="763"/>
      <c r="V33" s="660"/>
      <c r="W33" s="764" t="s">
        <v>358</v>
      </c>
      <c r="X33" s="673" t="s">
        <v>359</v>
      </c>
    </row>
    <row r="34" ht="7.5" customHeight="1">
      <c r="A34" s="105"/>
      <c r="B34" s="734" t="s">
        <v>92</v>
      </c>
      <c r="C34" s="765"/>
      <c r="D34" s="664"/>
      <c r="E34" s="289"/>
      <c r="F34" s="290"/>
      <c r="G34" s="766" t="s">
        <v>363</v>
      </c>
      <c r="H34" s="660" t="s">
        <v>364</v>
      </c>
      <c r="I34" s="701"/>
      <c r="J34" s="673"/>
      <c r="K34" s="703"/>
      <c r="L34" s="642"/>
      <c r="M34" s="46"/>
      <c r="N34" s="767" t="s">
        <v>92</v>
      </c>
      <c r="O34" s="289"/>
      <c r="P34" s="289"/>
      <c r="Q34" s="711"/>
      <c r="R34" s="660"/>
      <c r="S34" s="289"/>
      <c r="T34" s="290"/>
      <c r="U34" s="39"/>
      <c r="V34" s="289"/>
      <c r="W34" s="289"/>
      <c r="X34" s="290"/>
    </row>
    <row r="35" ht="5.25" customHeight="1">
      <c r="A35" s="105"/>
      <c r="B35" s="40"/>
      <c r="C35" s="39"/>
      <c r="D35" s="289"/>
      <c r="E35" s="660" t="s">
        <v>355</v>
      </c>
      <c r="F35" s="673" t="s">
        <v>360</v>
      </c>
      <c r="G35" s="39"/>
      <c r="H35" s="289"/>
      <c r="I35" s="289"/>
      <c r="J35" s="290"/>
      <c r="K35" s="679"/>
      <c r="L35" s="642"/>
      <c r="M35" s="46"/>
      <c r="N35" s="38"/>
      <c r="O35" s="738"/>
      <c r="P35" s="711" t="s">
        <v>362</v>
      </c>
      <c r="Q35" s="289"/>
      <c r="R35" s="289"/>
      <c r="S35" s="672"/>
      <c r="T35" s="768"/>
      <c r="U35" s="670"/>
      <c r="V35" s="660"/>
      <c r="W35" s="660"/>
      <c r="X35" s="673" t="s">
        <v>358</v>
      </c>
    </row>
    <row r="36" ht="7.5" customHeight="1">
      <c r="A36" s="105"/>
      <c r="B36" s="734" t="s">
        <v>93</v>
      </c>
      <c r="C36" s="765"/>
      <c r="D36" s="664"/>
      <c r="E36" s="535"/>
      <c r="F36" s="536"/>
      <c r="G36" s="670" t="s">
        <v>364</v>
      </c>
      <c r="H36" s="701" t="s">
        <v>363</v>
      </c>
      <c r="I36" s="660"/>
      <c r="J36" s="666"/>
      <c r="K36" s="703"/>
      <c r="L36" s="642"/>
      <c r="M36" s="46"/>
      <c r="N36" s="767" t="s">
        <v>93</v>
      </c>
      <c r="O36" s="54"/>
      <c r="P36" s="535"/>
      <c r="Q36" s="769"/>
      <c r="R36" s="711"/>
      <c r="S36" s="535"/>
      <c r="T36" s="536"/>
      <c r="U36" s="45"/>
      <c r="V36" s="535"/>
      <c r="W36" s="535"/>
      <c r="X36" s="536"/>
    </row>
    <row r="37" ht="6.75" customHeight="1">
      <c r="A37" s="105"/>
      <c r="B37" s="40"/>
      <c r="C37" s="39"/>
      <c r="D37" s="289"/>
      <c r="E37" s="289"/>
      <c r="F37" s="290"/>
      <c r="G37" s="39"/>
      <c r="H37" s="289"/>
      <c r="I37" s="289"/>
      <c r="J37" s="290"/>
      <c r="K37" s="679"/>
      <c r="L37" s="642"/>
      <c r="M37" s="46"/>
      <c r="N37" s="38"/>
      <c r="O37" s="28"/>
      <c r="P37" s="289"/>
      <c r="Q37" s="289"/>
      <c r="R37" s="289"/>
      <c r="S37" s="289"/>
      <c r="T37" s="290"/>
      <c r="U37" s="39"/>
      <c r="V37" s="289"/>
      <c r="W37" s="289"/>
      <c r="X37" s="290"/>
    </row>
    <row r="38" ht="11.25" customHeight="1">
      <c r="A38" s="123"/>
      <c r="B38" s="681" t="s">
        <v>94</v>
      </c>
      <c r="C38" s="520"/>
      <c r="D38" s="520"/>
      <c r="E38" s="520"/>
      <c r="F38" s="521"/>
      <c r="G38" s="683"/>
      <c r="H38" s="520"/>
      <c r="I38" s="520"/>
      <c r="J38" s="521"/>
      <c r="K38" s="684"/>
      <c r="L38" s="642"/>
      <c r="M38" s="92"/>
      <c r="N38" s="770" t="s">
        <v>94</v>
      </c>
      <c r="O38" s="685"/>
      <c r="P38" s="686"/>
      <c r="Q38" s="686"/>
      <c r="R38" s="686"/>
      <c r="S38" s="686"/>
      <c r="T38" s="687"/>
      <c r="U38" s="688"/>
      <c r="V38" s="688"/>
      <c r="W38" s="688"/>
      <c r="X38" s="689"/>
    </row>
    <row r="39" ht="14.25" customHeight="1">
      <c r="A39" s="638" t="s">
        <v>125</v>
      </c>
      <c r="B39" s="728" t="s">
        <v>75</v>
      </c>
      <c r="C39" s="445"/>
      <c r="D39" s="729"/>
      <c r="E39" s="729"/>
      <c r="F39" s="730"/>
      <c r="G39" s="699"/>
      <c r="H39" s="699"/>
      <c r="I39" s="699"/>
      <c r="J39" s="771"/>
      <c r="K39" s="641"/>
      <c r="L39" s="642"/>
      <c r="M39" s="772" t="s">
        <v>125</v>
      </c>
      <c r="N39" s="644" t="s">
        <v>75</v>
      </c>
      <c r="O39" s="773"/>
      <c r="P39" s="774"/>
      <c r="Q39" s="696" t="s">
        <v>357</v>
      </c>
      <c r="R39" s="751" t="s">
        <v>365</v>
      </c>
      <c r="S39" s="775"/>
      <c r="T39" s="668" t="s">
        <v>358</v>
      </c>
      <c r="U39" s="692" t="s">
        <v>366</v>
      </c>
      <c r="V39" s="776"/>
      <c r="W39" s="777"/>
      <c r="X39" s="691"/>
    </row>
    <row r="40" ht="6.75" customHeight="1">
      <c r="A40" s="105"/>
      <c r="B40" s="734" t="s">
        <v>81</v>
      </c>
      <c r="C40" s="778" t="s">
        <v>367</v>
      </c>
      <c r="D40" s="32"/>
      <c r="E40" s="32"/>
      <c r="F40" s="32"/>
      <c r="G40" s="32"/>
      <c r="H40" s="32"/>
      <c r="I40" s="32"/>
      <c r="J40" s="35"/>
      <c r="K40" s="703"/>
      <c r="L40" s="642"/>
      <c r="M40" s="105"/>
      <c r="N40" s="669" t="s">
        <v>81</v>
      </c>
      <c r="O40" s="779"/>
      <c r="P40" s="711"/>
      <c r="Q40" s="289"/>
      <c r="R40" s="289"/>
      <c r="S40" s="289"/>
      <c r="T40" s="290"/>
      <c r="U40" s="39"/>
      <c r="V40" s="289"/>
      <c r="W40" s="780"/>
      <c r="X40" s="666"/>
    </row>
    <row r="41" ht="6.75" customHeight="1">
      <c r="A41" s="105"/>
      <c r="B41" s="40"/>
      <c r="J41" s="46"/>
      <c r="K41" s="679"/>
      <c r="L41" s="642"/>
      <c r="M41" s="105"/>
      <c r="N41" s="40"/>
      <c r="O41" s="39"/>
      <c r="P41" s="289"/>
      <c r="Q41" s="781" t="s">
        <v>365</v>
      </c>
      <c r="R41" s="764" t="s">
        <v>357</v>
      </c>
      <c r="S41" s="653" t="s">
        <v>358</v>
      </c>
      <c r="T41" s="782"/>
      <c r="U41" s="765"/>
      <c r="V41" s="660" t="s">
        <v>366</v>
      </c>
      <c r="W41" s="289"/>
      <c r="X41" s="290"/>
    </row>
    <row r="42" ht="9.0" customHeight="1">
      <c r="A42" s="105"/>
      <c r="B42" s="734" t="s">
        <v>83</v>
      </c>
      <c r="J42" s="46"/>
      <c r="K42" s="703"/>
      <c r="L42" s="642"/>
      <c r="M42" s="105"/>
      <c r="N42" s="669" t="s">
        <v>83</v>
      </c>
      <c r="O42" s="783"/>
      <c r="P42" s="705"/>
      <c r="Q42" s="535"/>
      <c r="R42" s="535"/>
      <c r="S42" s="535"/>
      <c r="T42" s="536"/>
      <c r="U42" s="45"/>
      <c r="V42" s="535"/>
      <c r="W42" s="784"/>
      <c r="X42" s="785"/>
    </row>
    <row r="43" ht="6.0" customHeight="1">
      <c r="A43" s="105"/>
      <c r="B43" s="40"/>
      <c r="C43" s="38"/>
      <c r="D43" s="38"/>
      <c r="E43" s="38"/>
      <c r="F43" s="38"/>
      <c r="G43" s="38"/>
      <c r="H43" s="38"/>
      <c r="I43" s="38"/>
      <c r="J43" s="40"/>
      <c r="K43" s="679"/>
      <c r="L43" s="642"/>
      <c r="M43" s="105"/>
      <c r="N43" s="40"/>
      <c r="O43" s="28"/>
      <c r="P43" s="289"/>
      <c r="Q43" s="289"/>
      <c r="R43" s="289"/>
      <c r="S43" s="289"/>
      <c r="T43" s="290"/>
      <c r="U43" s="39"/>
      <c r="V43" s="289"/>
      <c r="W43" s="289"/>
      <c r="X43" s="290"/>
    </row>
    <row r="44" ht="7.5" customHeight="1">
      <c r="A44" s="105"/>
      <c r="B44" s="734" t="s">
        <v>87</v>
      </c>
      <c r="C44" s="786"/>
      <c r="D44" s="787"/>
      <c r="E44" s="660" t="s">
        <v>368</v>
      </c>
      <c r="F44" s="666" t="s">
        <v>369</v>
      </c>
      <c r="G44" s="788" t="s">
        <v>370</v>
      </c>
      <c r="J44" s="46"/>
      <c r="K44" s="789"/>
      <c r="M44" s="105"/>
      <c r="N44" s="669" t="s">
        <v>87</v>
      </c>
      <c r="O44" s="783"/>
      <c r="P44" s="784"/>
      <c r="Q44" s="711"/>
      <c r="R44" s="702"/>
      <c r="S44" s="702"/>
      <c r="T44" s="790"/>
      <c r="U44" s="791" t="s">
        <v>371</v>
      </c>
      <c r="V44" s="32"/>
      <c r="W44" s="32"/>
      <c r="X44" s="35"/>
    </row>
    <row r="45" ht="6.75" customHeight="1">
      <c r="A45" s="105"/>
      <c r="B45" s="40"/>
      <c r="C45" s="28"/>
      <c r="D45" s="289"/>
      <c r="E45" s="289"/>
      <c r="F45" s="290"/>
      <c r="G45" s="38"/>
      <c r="H45" s="38"/>
      <c r="I45" s="38"/>
      <c r="J45" s="40"/>
      <c r="K45" s="679"/>
      <c r="M45" s="105"/>
      <c r="N45" s="40"/>
      <c r="O45" s="28"/>
      <c r="P45" s="289"/>
      <c r="Q45" s="289"/>
      <c r="R45" s="289"/>
      <c r="S45" s="289"/>
      <c r="T45" s="290"/>
      <c r="U45" s="38"/>
      <c r="V45" s="38"/>
      <c r="W45" s="38"/>
      <c r="X45" s="40"/>
    </row>
    <row r="46" ht="9.0" customHeight="1">
      <c r="A46" s="105"/>
      <c r="B46" s="734" t="s">
        <v>92</v>
      </c>
      <c r="C46" s="667" t="s">
        <v>368</v>
      </c>
      <c r="D46" s="792" t="s">
        <v>369</v>
      </c>
      <c r="E46" s="535"/>
      <c r="F46" s="536"/>
      <c r="G46" s="45"/>
      <c r="H46" s="535"/>
      <c r="I46" s="535"/>
      <c r="J46" s="536"/>
      <c r="K46" s="793"/>
      <c r="L46" s="794"/>
      <c r="M46" s="105"/>
      <c r="N46" s="669" t="s">
        <v>92</v>
      </c>
      <c r="O46" s="795" t="s">
        <v>372</v>
      </c>
      <c r="P46" s="32"/>
      <c r="Q46" s="32"/>
      <c r="R46" s="32"/>
      <c r="S46" s="32"/>
      <c r="T46" s="32"/>
      <c r="U46" s="32"/>
      <c r="V46" s="32"/>
      <c r="W46" s="32"/>
      <c r="X46" s="35"/>
    </row>
    <row r="47" ht="5.25" customHeight="1">
      <c r="A47" s="105"/>
      <c r="B47" s="40"/>
      <c r="C47" s="39"/>
      <c r="D47" s="289"/>
      <c r="E47" s="289"/>
      <c r="F47" s="290"/>
      <c r="G47" s="39"/>
      <c r="H47" s="289"/>
      <c r="I47" s="289"/>
      <c r="J47" s="290"/>
      <c r="K47" s="679"/>
      <c r="L47" s="794"/>
      <c r="M47" s="105"/>
      <c r="N47" s="40"/>
      <c r="O47" s="60"/>
      <c r="P47" s="38"/>
      <c r="Q47" s="38"/>
      <c r="R47" s="38"/>
      <c r="S47" s="38"/>
      <c r="T47" s="38"/>
      <c r="U47" s="38"/>
      <c r="V47" s="38"/>
      <c r="W47" s="38"/>
      <c r="X47" s="40"/>
    </row>
    <row r="48" ht="12.75" customHeight="1">
      <c r="A48" s="105"/>
      <c r="B48" s="728" t="s">
        <v>93</v>
      </c>
      <c r="C48" s="39"/>
      <c r="D48" s="289"/>
      <c r="E48" s="289"/>
      <c r="F48" s="290"/>
      <c r="G48" s="39"/>
      <c r="H48" s="289"/>
      <c r="I48" s="289"/>
      <c r="J48" s="290"/>
      <c r="K48" s="796"/>
      <c r="M48" s="105"/>
      <c r="N48" s="644" t="s">
        <v>93</v>
      </c>
      <c r="O48" s="13"/>
      <c r="P48" s="142"/>
      <c r="Q48" s="142"/>
      <c r="R48" s="142"/>
      <c r="S48" s="142"/>
      <c r="T48" s="145"/>
      <c r="U48" s="13"/>
      <c r="V48" s="142"/>
      <c r="W48" s="142"/>
      <c r="X48" s="145"/>
    </row>
    <row r="49" ht="13.5" customHeight="1">
      <c r="A49" s="123"/>
      <c r="B49" s="681" t="s">
        <v>94</v>
      </c>
      <c r="C49" s="797"/>
      <c r="D49" s="686"/>
      <c r="E49" s="686"/>
      <c r="F49" s="687"/>
      <c r="G49" s="688"/>
      <c r="H49" s="688"/>
      <c r="I49" s="688"/>
      <c r="J49" s="798"/>
      <c r="K49" s="684"/>
      <c r="L49" s="642"/>
      <c r="M49" s="123"/>
      <c r="N49" s="747" t="s">
        <v>94</v>
      </c>
      <c r="O49" s="685"/>
      <c r="P49" s="686"/>
      <c r="Q49" s="686"/>
      <c r="R49" s="686"/>
      <c r="S49" s="686"/>
      <c r="T49" s="687"/>
      <c r="U49" s="797"/>
      <c r="V49" s="686"/>
      <c r="W49" s="686"/>
      <c r="X49" s="687"/>
    </row>
    <row r="50" ht="12.75" customHeight="1">
      <c r="A50" s="76"/>
      <c r="B50" s="799">
        <f>'1r'!C44</f>
        <v>45940</v>
      </c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170">
        <f>'1r'!C44</f>
        <v>45940</v>
      </c>
      <c r="P50" s="76"/>
      <c r="Q50" s="76"/>
      <c r="R50" s="76"/>
      <c r="S50" s="76"/>
      <c r="T50" s="76"/>
      <c r="U50" s="76"/>
      <c r="V50" s="76"/>
      <c r="W50" s="76"/>
      <c r="X50" s="76"/>
    </row>
    <row r="51" ht="12.75" customHeight="1">
      <c r="A51" s="76"/>
      <c r="B51" s="800" t="s">
        <v>373</v>
      </c>
      <c r="K51" s="76"/>
      <c r="L51" s="76"/>
      <c r="M51" s="76"/>
      <c r="N51" s="800" t="s">
        <v>373</v>
      </c>
      <c r="W51" s="76"/>
      <c r="X51" s="76"/>
    </row>
    <row r="52" ht="12.75" customHeight="1">
      <c r="A52" s="76"/>
      <c r="B52" s="800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</row>
    <row r="53" ht="12.75" customHeight="1">
      <c r="A53" s="76"/>
      <c r="B53" s="801" t="s">
        <v>374</v>
      </c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801" t="s">
        <v>375</v>
      </c>
      <c r="O53" s="76"/>
      <c r="P53" s="76"/>
      <c r="Q53" s="76"/>
      <c r="R53" s="76"/>
      <c r="S53" s="76"/>
      <c r="T53" s="76"/>
      <c r="U53" s="76"/>
      <c r="V53" s="76"/>
      <c r="W53" s="76"/>
      <c r="X53" s="76"/>
    </row>
    <row r="54" ht="12.75" customHeight="1"/>
  </sheetData>
  <mergeCells count="265">
    <mergeCell ref="D29:D30"/>
    <mergeCell ref="B30:B31"/>
    <mergeCell ref="E33:E34"/>
    <mergeCell ref="F33:F34"/>
    <mergeCell ref="B34:B35"/>
    <mergeCell ref="C34:C35"/>
    <mergeCell ref="D34:D35"/>
    <mergeCell ref="G34:G35"/>
    <mergeCell ref="E35:E37"/>
    <mergeCell ref="F35:F37"/>
    <mergeCell ref="B36:B37"/>
    <mergeCell ref="C36:C37"/>
    <mergeCell ref="D36:D37"/>
    <mergeCell ref="G36:G37"/>
    <mergeCell ref="B42:B43"/>
    <mergeCell ref="B46:B47"/>
    <mergeCell ref="B50:C50"/>
    <mergeCell ref="E46:E47"/>
    <mergeCell ref="F46:F47"/>
    <mergeCell ref="G46:G47"/>
    <mergeCell ref="H46:H47"/>
    <mergeCell ref="I46:I47"/>
    <mergeCell ref="J46:J47"/>
    <mergeCell ref="N50:O50"/>
    <mergeCell ref="N51:V51"/>
    <mergeCell ref="K46:K47"/>
    <mergeCell ref="B51:J51"/>
    <mergeCell ref="A39:A49"/>
    <mergeCell ref="M39:M49"/>
    <mergeCell ref="B40:B41"/>
    <mergeCell ref="C40:J43"/>
    <mergeCell ref="K40:K41"/>
    <mergeCell ref="K42:K43"/>
    <mergeCell ref="K44:K45"/>
    <mergeCell ref="G30:G31"/>
    <mergeCell ref="C31:C32"/>
    <mergeCell ref="D31:D32"/>
    <mergeCell ref="A21:A28"/>
    <mergeCell ref="B22:B23"/>
    <mergeCell ref="D22:D23"/>
    <mergeCell ref="E22:E23"/>
    <mergeCell ref="F22:F23"/>
    <mergeCell ref="G22:G23"/>
    <mergeCell ref="A29:A38"/>
    <mergeCell ref="B44:B45"/>
    <mergeCell ref="C44:C45"/>
    <mergeCell ref="D44:D45"/>
    <mergeCell ref="E44:E45"/>
    <mergeCell ref="S44:S45"/>
    <mergeCell ref="T44:T45"/>
    <mergeCell ref="F44:F45"/>
    <mergeCell ref="G44:J45"/>
    <mergeCell ref="N44:N45"/>
    <mergeCell ref="O44:O45"/>
    <mergeCell ref="P44:P45"/>
    <mergeCell ref="Q44:Q45"/>
    <mergeCell ref="R44:R45"/>
    <mergeCell ref="C46:C47"/>
    <mergeCell ref="D46:D47"/>
    <mergeCell ref="N46:N47"/>
    <mergeCell ref="U13:U14"/>
    <mergeCell ref="V13:V14"/>
    <mergeCell ref="S17:T18"/>
    <mergeCell ref="U17:U18"/>
    <mergeCell ref="V17:V18"/>
    <mergeCell ref="W17:W18"/>
    <mergeCell ref="X17:X18"/>
    <mergeCell ref="S19:T19"/>
    <mergeCell ref="T8:T9"/>
    <mergeCell ref="U8:U9"/>
    <mergeCell ref="W9:W10"/>
    <mergeCell ref="X9:X10"/>
    <mergeCell ref="W12:W14"/>
    <mergeCell ref="S13:S14"/>
    <mergeCell ref="T13:T14"/>
    <mergeCell ref="X13:X14"/>
    <mergeCell ref="S2:T2"/>
    <mergeCell ref="U2:V2"/>
    <mergeCell ref="B1:J1"/>
    <mergeCell ref="N1:X1"/>
    <mergeCell ref="C2:D2"/>
    <mergeCell ref="E2:F2"/>
    <mergeCell ref="G2:H2"/>
    <mergeCell ref="I2:J2"/>
    <mergeCell ref="K2:K3"/>
    <mergeCell ref="B8:B9"/>
    <mergeCell ref="C8:C9"/>
    <mergeCell ref="D8:D9"/>
    <mergeCell ref="E8:E9"/>
    <mergeCell ref="F8:F9"/>
    <mergeCell ref="G8:G9"/>
    <mergeCell ref="H8:H9"/>
    <mergeCell ref="I8:I9"/>
    <mergeCell ref="W2:X2"/>
    <mergeCell ref="O4:X4"/>
    <mergeCell ref="O5:X5"/>
    <mergeCell ref="O6:T6"/>
    <mergeCell ref="W7:W8"/>
    <mergeCell ref="X7:X8"/>
    <mergeCell ref="S8:S9"/>
    <mergeCell ref="V8:V9"/>
    <mergeCell ref="J8:J9"/>
    <mergeCell ref="N8:N9"/>
    <mergeCell ref="Q8:Q9"/>
    <mergeCell ref="R8:R9"/>
    <mergeCell ref="Q13:Q14"/>
    <mergeCell ref="R13:R14"/>
    <mergeCell ref="Q16:Q17"/>
    <mergeCell ref="R16:R17"/>
    <mergeCell ref="R18:R19"/>
    <mergeCell ref="A4:A11"/>
    <mergeCell ref="A12:A20"/>
    <mergeCell ref="B17:B18"/>
    <mergeCell ref="C17:C18"/>
    <mergeCell ref="D17:D18"/>
    <mergeCell ref="O2:P2"/>
    <mergeCell ref="Q2:R2"/>
    <mergeCell ref="C4:J4"/>
    <mergeCell ref="M4:M11"/>
    <mergeCell ref="C5:J5"/>
    <mergeCell ref="C6:F6"/>
    <mergeCell ref="K9:K10"/>
    <mergeCell ref="I13:I14"/>
    <mergeCell ref="J13:J14"/>
    <mergeCell ref="K13:K14"/>
    <mergeCell ref="I18:I19"/>
    <mergeCell ref="J18:J19"/>
    <mergeCell ref="G12:G13"/>
    <mergeCell ref="H12:H13"/>
    <mergeCell ref="B13:B14"/>
    <mergeCell ref="C13:C14"/>
    <mergeCell ref="D13:D14"/>
    <mergeCell ref="E13:E14"/>
    <mergeCell ref="F13:F14"/>
    <mergeCell ref="C19:H19"/>
    <mergeCell ref="O17:P18"/>
    <mergeCell ref="O19:Q19"/>
    <mergeCell ref="O25:T25"/>
    <mergeCell ref="O26:T26"/>
    <mergeCell ref="O27:T27"/>
    <mergeCell ref="S29:S30"/>
    <mergeCell ref="T29:T30"/>
    <mergeCell ref="U29:U30"/>
    <mergeCell ref="V29:V30"/>
    <mergeCell ref="N30:N31"/>
    <mergeCell ref="O30:O31"/>
    <mergeCell ref="P30:P31"/>
    <mergeCell ref="Q30:Q31"/>
    <mergeCell ref="R30:R31"/>
    <mergeCell ref="S31:S32"/>
    <mergeCell ref="T31:T32"/>
    <mergeCell ref="T35:T37"/>
    <mergeCell ref="U35:U37"/>
    <mergeCell ref="V35:V37"/>
    <mergeCell ref="W35:W37"/>
    <mergeCell ref="X35:X37"/>
    <mergeCell ref="O33:O34"/>
    <mergeCell ref="N34:N35"/>
    <mergeCell ref="R34:R35"/>
    <mergeCell ref="O35:O37"/>
    <mergeCell ref="P35:P37"/>
    <mergeCell ref="S35:S37"/>
    <mergeCell ref="R36:R37"/>
    <mergeCell ref="V39:V40"/>
    <mergeCell ref="W40:W41"/>
    <mergeCell ref="X40:X41"/>
    <mergeCell ref="Q34:Q35"/>
    <mergeCell ref="Q36:Q37"/>
    <mergeCell ref="Q39:Q40"/>
    <mergeCell ref="R39:R40"/>
    <mergeCell ref="S39:S40"/>
    <mergeCell ref="T39:T40"/>
    <mergeCell ref="U39:U40"/>
    <mergeCell ref="T41:T43"/>
    <mergeCell ref="U41:U43"/>
    <mergeCell ref="V41:V43"/>
    <mergeCell ref="W42:W43"/>
    <mergeCell ref="X42:X43"/>
    <mergeCell ref="U44:X45"/>
    <mergeCell ref="O46:X47"/>
    <mergeCell ref="N42:N43"/>
    <mergeCell ref="O42:O43"/>
    <mergeCell ref="N36:N37"/>
    <mergeCell ref="N40:N41"/>
    <mergeCell ref="O40:O41"/>
    <mergeCell ref="P40:P41"/>
    <mergeCell ref="Q41:Q43"/>
    <mergeCell ref="R41:R43"/>
    <mergeCell ref="S41:S43"/>
    <mergeCell ref="P42:P43"/>
    <mergeCell ref="O8:O9"/>
    <mergeCell ref="P8:P9"/>
    <mergeCell ref="M12:M20"/>
    <mergeCell ref="O12:O13"/>
    <mergeCell ref="P12:P13"/>
    <mergeCell ref="O14:O15"/>
    <mergeCell ref="P14:P15"/>
    <mergeCell ref="N13:N14"/>
    <mergeCell ref="N17:N18"/>
    <mergeCell ref="N22:N23"/>
    <mergeCell ref="O22:O23"/>
    <mergeCell ref="P22:P23"/>
    <mergeCell ref="Q22:Q23"/>
    <mergeCell ref="R22:R23"/>
    <mergeCell ref="U26:X26"/>
    <mergeCell ref="U27:X27"/>
    <mergeCell ref="O28:X28"/>
    <mergeCell ref="S22:S23"/>
    <mergeCell ref="T22:T23"/>
    <mergeCell ref="U22:U23"/>
    <mergeCell ref="V22:V23"/>
    <mergeCell ref="W22:W23"/>
    <mergeCell ref="X22:X23"/>
    <mergeCell ref="U25:X25"/>
    <mergeCell ref="W29:W30"/>
    <mergeCell ref="X29:X30"/>
    <mergeCell ref="U31:U32"/>
    <mergeCell ref="V31:V32"/>
    <mergeCell ref="W31:W32"/>
    <mergeCell ref="X31:X32"/>
    <mergeCell ref="P33:P34"/>
    <mergeCell ref="S33:S34"/>
    <mergeCell ref="T33:T34"/>
    <mergeCell ref="U33:U34"/>
    <mergeCell ref="V33:V34"/>
    <mergeCell ref="W33:W34"/>
    <mergeCell ref="X33:X34"/>
    <mergeCell ref="K34:K35"/>
    <mergeCell ref="J36:J37"/>
    <mergeCell ref="K36:K37"/>
    <mergeCell ref="J16:J17"/>
    <mergeCell ref="K17:K18"/>
    <mergeCell ref="M21:M28"/>
    <mergeCell ref="J22:J23"/>
    <mergeCell ref="K22:K23"/>
    <mergeCell ref="M29:M38"/>
    <mergeCell ref="K30:K31"/>
    <mergeCell ref="G14:G15"/>
    <mergeCell ref="H14:H15"/>
    <mergeCell ref="I16:I17"/>
    <mergeCell ref="E17:E18"/>
    <mergeCell ref="F17:F18"/>
    <mergeCell ref="G17:G18"/>
    <mergeCell ref="H17:H18"/>
    <mergeCell ref="H22:H23"/>
    <mergeCell ref="I22:I23"/>
    <mergeCell ref="G25:J25"/>
    <mergeCell ref="G26:J26"/>
    <mergeCell ref="G27:J27"/>
    <mergeCell ref="C25:F25"/>
    <mergeCell ref="C26:F26"/>
    <mergeCell ref="C27:F27"/>
    <mergeCell ref="C28:J28"/>
    <mergeCell ref="C22:C23"/>
    <mergeCell ref="C29:C30"/>
    <mergeCell ref="E30:E31"/>
    <mergeCell ref="F30:F31"/>
    <mergeCell ref="H30:H31"/>
    <mergeCell ref="I30:I31"/>
    <mergeCell ref="H34:H35"/>
    <mergeCell ref="I34:I35"/>
    <mergeCell ref="H36:H37"/>
    <mergeCell ref="I36:I37"/>
    <mergeCell ref="J30:J31"/>
    <mergeCell ref="J34:J3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7.13"/>
    <col customWidth="1" min="3" max="6" width="11.13"/>
    <col customWidth="1" min="7" max="7" width="13.0"/>
    <col customWidth="1" min="8" max="8" width="12.5"/>
    <col customWidth="1" min="9" max="9" width="12.25"/>
    <col customWidth="1" min="10" max="10" width="12.38"/>
    <col customWidth="1" min="11" max="11" width="12.88"/>
    <col customWidth="1" min="12" max="12" width="13.0"/>
  </cols>
  <sheetData>
    <row r="1" ht="12.75" customHeight="1">
      <c r="A1" s="76"/>
      <c r="B1" s="802" t="s">
        <v>376</v>
      </c>
    </row>
    <row r="2" ht="12.75" customHeight="1">
      <c r="A2" s="76"/>
      <c r="B2" s="81"/>
      <c r="C2" s="803">
        <v>30441.0</v>
      </c>
      <c r="D2" s="10"/>
      <c r="E2" s="804">
        <v>30442.0</v>
      </c>
      <c r="F2" s="10"/>
      <c r="G2" s="805">
        <v>30443.0</v>
      </c>
      <c r="H2" s="10"/>
      <c r="I2" s="805">
        <v>30444.0</v>
      </c>
      <c r="J2" s="10"/>
      <c r="K2" s="805">
        <v>30445.0</v>
      </c>
      <c r="L2" s="10"/>
    </row>
    <row r="3" ht="12.75" customHeight="1">
      <c r="A3" s="79"/>
      <c r="B3" s="88"/>
      <c r="C3" s="806">
        <v>1.0</v>
      </c>
      <c r="D3" s="89">
        <v>2.0</v>
      </c>
      <c r="E3" s="89">
        <v>1.0</v>
      </c>
      <c r="F3" s="90">
        <v>2.0</v>
      </c>
      <c r="G3" s="89">
        <v>1.0</v>
      </c>
      <c r="H3" s="89">
        <v>2.0</v>
      </c>
      <c r="I3" s="89">
        <v>1.0</v>
      </c>
      <c r="J3" s="89">
        <v>2.0</v>
      </c>
      <c r="K3" s="89">
        <v>1.0</v>
      </c>
      <c r="L3" s="90">
        <v>2.0</v>
      </c>
    </row>
    <row r="4" ht="12.75" customHeight="1">
      <c r="A4" s="638" t="s">
        <v>135</v>
      </c>
      <c r="B4" s="807" t="s">
        <v>75</v>
      </c>
      <c r="C4" s="808" t="s">
        <v>377</v>
      </c>
      <c r="D4" s="809" t="s">
        <v>378</v>
      </c>
      <c r="E4" s="139"/>
      <c r="F4" s="139"/>
      <c r="G4" s="138"/>
      <c r="H4" s="810"/>
      <c r="I4" s="107"/>
      <c r="J4" s="811"/>
      <c r="K4" s="811"/>
      <c r="L4" s="812"/>
    </row>
    <row r="5" ht="9.0" customHeight="1">
      <c r="A5" s="105"/>
      <c r="B5" s="813" t="s">
        <v>81</v>
      </c>
      <c r="C5" s="814"/>
      <c r="D5" s="665"/>
      <c r="E5" s="815" t="s">
        <v>377</v>
      </c>
      <c r="F5" s="815" t="s">
        <v>378</v>
      </c>
      <c r="G5" s="816" t="s">
        <v>379</v>
      </c>
      <c r="H5" s="817"/>
      <c r="I5" s="818"/>
      <c r="J5" s="665"/>
      <c r="K5" s="665"/>
      <c r="L5" s="819"/>
    </row>
    <row r="6" ht="6.0" customHeight="1">
      <c r="A6" s="105"/>
      <c r="B6" s="46"/>
      <c r="C6" s="28"/>
      <c r="D6" s="289"/>
      <c r="E6" s="289"/>
      <c r="F6" s="289"/>
      <c r="G6" s="289"/>
      <c r="H6" s="290"/>
      <c r="I6" s="39"/>
      <c r="J6" s="289"/>
      <c r="K6" s="289"/>
      <c r="L6" s="290"/>
    </row>
    <row r="7" ht="16.5" customHeight="1">
      <c r="A7" s="105"/>
      <c r="B7" s="807" t="s">
        <v>83</v>
      </c>
      <c r="C7" s="141"/>
      <c r="D7" s="142"/>
      <c r="E7" s="142"/>
      <c r="F7" s="142"/>
      <c r="G7" s="820" t="s">
        <v>380</v>
      </c>
      <c r="H7" s="821" t="s">
        <v>379</v>
      </c>
      <c r="I7" s="822"/>
      <c r="J7" s="823"/>
      <c r="K7" s="142"/>
      <c r="L7" s="145"/>
    </row>
    <row r="8" ht="12.75" customHeight="1">
      <c r="A8" s="105"/>
      <c r="B8" s="813" t="s">
        <v>87</v>
      </c>
      <c r="C8" s="484"/>
      <c r="D8" s="705"/>
      <c r="E8" s="705"/>
      <c r="F8" s="705"/>
      <c r="G8" s="816" t="s">
        <v>377</v>
      </c>
      <c r="H8" s="782" t="s">
        <v>378</v>
      </c>
      <c r="I8" s="33"/>
      <c r="J8" s="665"/>
      <c r="K8" s="824"/>
      <c r="L8" s="825"/>
    </row>
    <row r="9" ht="3.0" customHeight="1">
      <c r="A9" s="105"/>
      <c r="B9" s="40"/>
      <c r="C9" s="28"/>
      <c r="D9" s="289"/>
      <c r="E9" s="289"/>
      <c r="F9" s="289"/>
      <c r="G9" s="289"/>
      <c r="H9" s="290"/>
      <c r="I9" s="39"/>
      <c r="J9" s="289"/>
      <c r="K9" s="289"/>
      <c r="L9" s="290"/>
    </row>
    <row r="10" ht="9.0" customHeight="1">
      <c r="A10" s="105"/>
      <c r="B10" s="813" t="s">
        <v>92</v>
      </c>
      <c r="C10" s="826"/>
      <c r="D10" s="827"/>
      <c r="E10" s="827"/>
      <c r="F10" s="828"/>
      <c r="G10" s="824"/>
      <c r="H10" s="825" t="s">
        <v>380</v>
      </c>
      <c r="I10" s="829"/>
      <c r="J10" s="665"/>
      <c r="K10" s="830" t="s">
        <v>381</v>
      </c>
      <c r="L10" s="831"/>
    </row>
    <row r="11" ht="6.75" customHeight="1">
      <c r="A11" s="105"/>
      <c r="B11" s="46"/>
      <c r="C11" s="28"/>
      <c r="D11" s="289"/>
      <c r="E11" s="289"/>
      <c r="F11" s="289"/>
      <c r="G11" s="289"/>
      <c r="H11" s="290"/>
      <c r="I11" s="39"/>
      <c r="J11" s="289"/>
      <c r="K11" s="289"/>
      <c r="L11" s="290"/>
    </row>
    <row r="12" ht="12.75" customHeight="1">
      <c r="A12" s="105"/>
      <c r="B12" s="807" t="s">
        <v>93</v>
      </c>
      <c r="C12" s="832"/>
      <c r="D12" s="833"/>
      <c r="E12" s="833"/>
      <c r="F12" s="834"/>
      <c r="G12" s="835"/>
      <c r="H12" s="836"/>
      <c r="I12" s="837"/>
      <c r="J12" s="833"/>
      <c r="K12" s="833"/>
      <c r="L12" s="838" t="s">
        <v>381</v>
      </c>
    </row>
    <row r="13" ht="12.75" customHeight="1">
      <c r="A13" s="123"/>
      <c r="B13" s="839" t="s">
        <v>94</v>
      </c>
      <c r="C13" s="840"/>
      <c r="D13" s="163"/>
      <c r="E13" s="841"/>
      <c r="F13" s="842"/>
      <c r="G13" s="843"/>
      <c r="H13" s="844"/>
      <c r="I13" s="163"/>
      <c r="J13" s="163"/>
      <c r="K13" s="163"/>
      <c r="L13" s="164"/>
    </row>
    <row r="14" ht="12.75" customHeight="1">
      <c r="A14" s="638" t="s">
        <v>146</v>
      </c>
      <c r="B14" s="807" t="s">
        <v>75</v>
      </c>
      <c r="C14" s="845" t="s">
        <v>382</v>
      </c>
      <c r="D14" s="38"/>
      <c r="E14" s="38"/>
      <c r="F14" s="38"/>
      <c r="G14" s="38"/>
      <c r="H14" s="40"/>
      <c r="I14" s="845" t="s">
        <v>383</v>
      </c>
      <c r="J14" s="38"/>
      <c r="K14" s="38"/>
      <c r="L14" s="40"/>
    </row>
    <row r="15" ht="12.75" customHeight="1">
      <c r="A15" s="105"/>
      <c r="B15" s="807" t="s">
        <v>81</v>
      </c>
      <c r="C15" s="846" t="s">
        <v>384</v>
      </c>
      <c r="L15" s="46"/>
    </row>
    <row r="16" ht="12.75" customHeight="1">
      <c r="A16" s="105"/>
      <c r="B16" s="807" t="s">
        <v>83</v>
      </c>
      <c r="L16" s="46"/>
    </row>
    <row r="17" ht="12.75" customHeight="1">
      <c r="A17" s="105"/>
      <c r="B17" s="807" t="s">
        <v>87</v>
      </c>
      <c r="C17" s="847" t="s">
        <v>385</v>
      </c>
      <c r="D17" s="38"/>
      <c r="E17" s="38"/>
      <c r="F17" s="38"/>
      <c r="G17" s="38"/>
      <c r="H17" s="38"/>
      <c r="I17" s="38"/>
      <c r="J17" s="38"/>
      <c r="K17" s="38"/>
      <c r="L17" s="40"/>
    </row>
    <row r="18" ht="12.75" customHeight="1">
      <c r="A18" s="105"/>
      <c r="B18" s="807" t="s">
        <v>92</v>
      </c>
    </row>
    <row r="19" ht="12.75" customHeight="1">
      <c r="A19" s="105"/>
      <c r="B19" s="807" t="s">
        <v>93</v>
      </c>
      <c r="C19" s="848" t="s">
        <v>386</v>
      </c>
      <c r="D19" s="12"/>
      <c r="E19" s="12"/>
      <c r="F19" s="12"/>
      <c r="G19" s="12"/>
      <c r="H19" s="12"/>
      <c r="I19" s="12"/>
      <c r="J19" s="12"/>
      <c r="K19" s="12"/>
      <c r="L19" s="16"/>
    </row>
    <row r="20" ht="12.75" customHeight="1">
      <c r="A20" s="123"/>
      <c r="B20" s="839" t="s">
        <v>94</v>
      </c>
      <c r="C20" s="840"/>
      <c r="D20" s="163"/>
      <c r="E20" s="163"/>
      <c r="F20" s="163"/>
      <c r="G20" s="849"/>
      <c r="H20" s="850"/>
      <c r="I20" s="163"/>
      <c r="J20" s="163"/>
      <c r="K20" s="163"/>
      <c r="L20" s="164"/>
    </row>
    <row r="21" ht="12.75" customHeight="1">
      <c r="A21" s="638" t="s">
        <v>155</v>
      </c>
      <c r="B21" s="807" t="s">
        <v>75</v>
      </c>
      <c r="C21" s="851" t="s">
        <v>387</v>
      </c>
      <c r="D21" s="852" t="s">
        <v>388</v>
      </c>
      <c r="E21" s="100"/>
      <c r="F21" s="100"/>
      <c r="G21" s="289"/>
      <c r="H21" s="290"/>
      <c r="I21" s="852" t="s">
        <v>389</v>
      </c>
      <c r="J21" s="852" t="s">
        <v>390</v>
      </c>
      <c r="K21" s="76"/>
      <c r="L21" s="677"/>
    </row>
    <row r="22" ht="5.25" customHeight="1">
      <c r="A22" s="105"/>
      <c r="B22" s="813" t="s">
        <v>81</v>
      </c>
      <c r="C22" s="28"/>
      <c r="D22" s="39"/>
      <c r="E22" s="120"/>
      <c r="F22" s="765"/>
      <c r="G22" s="705"/>
      <c r="H22" s="752"/>
      <c r="I22" s="39"/>
      <c r="J22" s="39"/>
      <c r="K22" s="664"/>
      <c r="L22" s="853"/>
    </row>
    <row r="23" ht="7.5" customHeight="1">
      <c r="A23" s="105"/>
      <c r="B23" s="40"/>
      <c r="C23" s="851" t="s">
        <v>388</v>
      </c>
      <c r="D23" s="852" t="s">
        <v>387</v>
      </c>
      <c r="E23" s="39"/>
      <c r="F23" s="39"/>
      <c r="G23" s="289"/>
      <c r="H23" s="290"/>
      <c r="I23" s="854" t="s">
        <v>390</v>
      </c>
      <c r="J23" s="852" t="s">
        <v>389</v>
      </c>
      <c r="K23" s="289"/>
      <c r="L23" s="290"/>
    </row>
    <row r="24" ht="12.75" customHeight="1">
      <c r="A24" s="105"/>
      <c r="B24" s="807" t="s">
        <v>83</v>
      </c>
      <c r="C24" s="28"/>
      <c r="D24" s="39"/>
      <c r="E24" s="100"/>
      <c r="F24" s="146"/>
      <c r="G24" s="142"/>
      <c r="H24" s="145"/>
      <c r="I24" s="39"/>
      <c r="J24" s="39"/>
      <c r="K24" s="855"/>
      <c r="L24" s="677"/>
    </row>
    <row r="25" ht="12.75" customHeight="1">
      <c r="A25" s="105"/>
      <c r="B25" s="807" t="s">
        <v>87</v>
      </c>
      <c r="C25" s="856"/>
      <c r="D25" s="106"/>
      <c r="E25" s="852" t="s">
        <v>388</v>
      </c>
      <c r="F25" s="854" t="s">
        <v>387</v>
      </c>
      <c r="G25" s="823"/>
      <c r="H25" s="147"/>
      <c r="I25" s="857" t="s">
        <v>391</v>
      </c>
      <c r="J25" s="858" t="s">
        <v>392</v>
      </c>
      <c r="K25" s="852" t="s">
        <v>389</v>
      </c>
      <c r="L25" s="859" t="s">
        <v>390</v>
      </c>
    </row>
    <row r="26" ht="7.5" customHeight="1">
      <c r="A26" s="105"/>
      <c r="B26" s="813" t="s">
        <v>92</v>
      </c>
      <c r="C26" s="814"/>
      <c r="D26" s="665"/>
      <c r="E26" s="39"/>
      <c r="F26" s="39"/>
      <c r="G26" s="705"/>
      <c r="H26" s="825"/>
      <c r="I26" s="818"/>
      <c r="J26" s="815"/>
      <c r="K26" s="39"/>
      <c r="L26" s="40"/>
    </row>
    <row r="27" ht="7.5" customHeight="1">
      <c r="A27" s="105"/>
      <c r="B27" s="40"/>
      <c r="C27" s="28"/>
      <c r="D27" s="289"/>
      <c r="E27" s="852" t="s">
        <v>387</v>
      </c>
      <c r="F27" s="854" t="s">
        <v>388</v>
      </c>
      <c r="G27" s="289"/>
      <c r="H27" s="290"/>
      <c r="I27" s="39"/>
      <c r="J27" s="289"/>
      <c r="K27" s="852" t="s">
        <v>390</v>
      </c>
      <c r="L27" s="860" t="s">
        <v>389</v>
      </c>
    </row>
    <row r="28" ht="9.0" customHeight="1">
      <c r="A28" s="105"/>
      <c r="B28" s="813" t="s">
        <v>93</v>
      </c>
      <c r="C28" s="861"/>
      <c r="D28" s="862"/>
      <c r="E28" s="45"/>
      <c r="F28" s="45"/>
      <c r="G28" s="705"/>
      <c r="H28" s="819"/>
      <c r="I28" s="863"/>
      <c r="J28" s="665"/>
      <c r="K28" s="45"/>
      <c r="L28" s="46"/>
    </row>
    <row r="29" ht="6.75" customHeight="1">
      <c r="A29" s="105"/>
      <c r="B29" s="40"/>
      <c r="C29" s="28"/>
      <c r="D29" s="39"/>
      <c r="E29" s="39"/>
      <c r="F29" s="39"/>
      <c r="G29" s="289"/>
      <c r="H29" s="290"/>
      <c r="I29" s="39"/>
      <c r="J29" s="289"/>
      <c r="K29" s="39"/>
      <c r="L29" s="40"/>
    </row>
    <row r="30" ht="12.75" customHeight="1">
      <c r="A30" s="123"/>
      <c r="B30" s="839" t="s">
        <v>94</v>
      </c>
      <c r="C30" s="864" t="s">
        <v>354</v>
      </c>
      <c r="L30" s="46"/>
    </row>
    <row r="31" ht="12.75" customHeight="1">
      <c r="A31" s="638" t="s">
        <v>161</v>
      </c>
      <c r="B31" s="807" t="s">
        <v>75</v>
      </c>
      <c r="C31" s="865" t="s">
        <v>393</v>
      </c>
      <c r="D31" s="6"/>
      <c r="E31" s="6"/>
      <c r="F31" s="6"/>
      <c r="G31" s="7"/>
      <c r="H31" s="866"/>
      <c r="I31" s="865" t="s">
        <v>394</v>
      </c>
      <c r="J31" s="6"/>
      <c r="K31" s="6"/>
      <c r="L31" s="10"/>
    </row>
    <row r="32" ht="12.75" customHeight="1">
      <c r="A32" s="105"/>
      <c r="B32" s="807" t="s">
        <v>81</v>
      </c>
      <c r="C32" s="867" t="s">
        <v>395</v>
      </c>
      <c r="D32" s="12"/>
      <c r="E32" s="12"/>
      <c r="F32" s="12"/>
      <c r="G32" s="13"/>
      <c r="H32" s="868"/>
      <c r="I32" s="869" t="s">
        <v>396</v>
      </c>
      <c r="J32" s="12"/>
      <c r="K32" s="12"/>
      <c r="L32" s="16"/>
    </row>
    <row r="33" ht="12.75" customHeight="1">
      <c r="A33" s="105"/>
      <c r="B33" s="807" t="s">
        <v>83</v>
      </c>
      <c r="C33" s="870" t="s">
        <v>397</v>
      </c>
      <c r="D33" s="12"/>
      <c r="E33" s="12"/>
      <c r="F33" s="12"/>
      <c r="G33" s="13"/>
      <c r="H33" s="871"/>
      <c r="I33" s="872" t="s">
        <v>398</v>
      </c>
      <c r="J33" s="12"/>
      <c r="K33" s="12"/>
      <c r="L33" s="16"/>
    </row>
    <row r="34" ht="12.75" customHeight="1">
      <c r="A34" s="105"/>
      <c r="B34" s="807" t="s">
        <v>87</v>
      </c>
      <c r="C34" s="873" t="s">
        <v>399</v>
      </c>
      <c r="D34" s="38"/>
      <c r="E34" s="38"/>
      <c r="F34" s="38"/>
      <c r="G34" s="38"/>
      <c r="H34" s="38"/>
      <c r="I34" s="38"/>
      <c r="J34" s="38"/>
      <c r="K34" s="38"/>
      <c r="L34" s="40"/>
    </row>
    <row r="35" ht="12.75" customHeight="1">
      <c r="A35" s="105"/>
      <c r="B35" s="813" t="s">
        <v>92</v>
      </c>
      <c r="C35" s="874"/>
      <c r="D35" s="875"/>
      <c r="E35" s="106"/>
      <c r="F35" s="106"/>
      <c r="G35" s="106"/>
      <c r="H35" s="876"/>
      <c r="I35" s="107"/>
      <c r="J35" s="877"/>
      <c r="K35" s="877"/>
      <c r="L35" s="878"/>
    </row>
    <row r="36" ht="12.75" customHeight="1">
      <c r="A36" s="105"/>
      <c r="B36" s="807" t="s">
        <v>93</v>
      </c>
      <c r="C36" s="131"/>
      <c r="D36" s="879"/>
      <c r="E36" s="875"/>
      <c r="F36" s="858"/>
      <c r="G36" s="858"/>
      <c r="H36" s="880"/>
      <c r="I36" s="857"/>
      <c r="J36" s="107"/>
      <c r="K36" s="107"/>
      <c r="L36" s="101"/>
    </row>
    <row r="37" ht="12.75" customHeight="1">
      <c r="A37" s="123"/>
      <c r="B37" s="839" t="s">
        <v>94</v>
      </c>
      <c r="C37" s="840"/>
      <c r="D37" s="163"/>
      <c r="E37" s="163"/>
      <c r="F37" s="841"/>
      <c r="G37" s="842"/>
      <c r="H37" s="844"/>
      <c r="I37" s="841"/>
      <c r="J37" s="163"/>
      <c r="K37" s="163"/>
      <c r="L37" s="164"/>
    </row>
    <row r="38" ht="12.75" customHeight="1">
      <c r="A38" s="638" t="s">
        <v>170</v>
      </c>
      <c r="B38" s="807" t="s">
        <v>75</v>
      </c>
      <c r="C38" s="137"/>
      <c r="D38" s="138"/>
      <c r="E38" s="881" t="s">
        <v>400</v>
      </c>
      <c r="F38" s="811" t="s">
        <v>401</v>
      </c>
      <c r="G38" s="835"/>
      <c r="H38" s="812"/>
      <c r="I38" s="877"/>
      <c r="J38" s="811"/>
      <c r="K38" s="811"/>
      <c r="L38" s="878"/>
    </row>
    <row r="39" ht="12.75" customHeight="1">
      <c r="A39" s="105"/>
      <c r="B39" s="807" t="s">
        <v>81</v>
      </c>
      <c r="C39" s="141"/>
      <c r="D39" s="142"/>
      <c r="E39" s="823" t="s">
        <v>401</v>
      </c>
      <c r="F39" s="823" t="s">
        <v>400</v>
      </c>
      <c r="G39" s="820"/>
      <c r="H39" s="836"/>
      <c r="I39" s="822"/>
      <c r="J39" s="823"/>
      <c r="K39" s="823"/>
      <c r="L39" s="878"/>
    </row>
    <row r="40" ht="12.75" customHeight="1">
      <c r="A40" s="105"/>
      <c r="B40" s="807" t="s">
        <v>83</v>
      </c>
      <c r="C40" s="882" t="s">
        <v>400</v>
      </c>
      <c r="D40" s="858" t="s">
        <v>401</v>
      </c>
      <c r="E40" s="756"/>
      <c r="F40" s="756"/>
      <c r="G40" s="756"/>
      <c r="H40" s="757"/>
      <c r="I40" s="758"/>
      <c r="J40" s="823"/>
      <c r="K40" s="823" t="s">
        <v>402</v>
      </c>
      <c r="L40" s="878" t="s">
        <v>403</v>
      </c>
    </row>
    <row r="41" ht="12.75" customHeight="1">
      <c r="A41" s="105"/>
      <c r="B41" s="807" t="s">
        <v>87</v>
      </c>
      <c r="C41" s="882" t="s">
        <v>401</v>
      </c>
      <c r="D41" s="858" t="s">
        <v>400</v>
      </c>
      <c r="E41" s="756"/>
      <c r="F41" s="756"/>
      <c r="G41" s="883" t="s">
        <v>387</v>
      </c>
      <c r="H41" s="860" t="s">
        <v>388</v>
      </c>
      <c r="I41" s="758"/>
      <c r="J41" s="823"/>
      <c r="K41" s="823" t="s">
        <v>403</v>
      </c>
      <c r="L41" s="878" t="s">
        <v>402</v>
      </c>
    </row>
    <row r="42" ht="8.25" customHeight="1">
      <c r="A42" s="105"/>
      <c r="B42" s="813" t="s">
        <v>92</v>
      </c>
      <c r="C42" s="884"/>
      <c r="D42" s="665"/>
      <c r="E42" s="665"/>
      <c r="F42" s="665"/>
      <c r="G42" s="289"/>
      <c r="H42" s="40"/>
      <c r="I42" s="854" t="s">
        <v>402</v>
      </c>
      <c r="J42" s="824" t="s">
        <v>403</v>
      </c>
      <c r="K42" s="824"/>
      <c r="L42" s="860"/>
    </row>
    <row r="43" ht="6.75" customHeight="1">
      <c r="A43" s="105"/>
      <c r="B43" s="40"/>
      <c r="C43" s="28"/>
      <c r="D43" s="289"/>
      <c r="E43" s="289"/>
      <c r="F43" s="289"/>
      <c r="G43" s="824" t="s">
        <v>388</v>
      </c>
      <c r="H43" s="860" t="s">
        <v>387</v>
      </c>
      <c r="I43" s="39"/>
      <c r="J43" s="289"/>
      <c r="K43" s="289"/>
      <c r="L43" s="40"/>
    </row>
    <row r="44" ht="12.75" customHeight="1">
      <c r="A44" s="105"/>
      <c r="B44" s="807" t="s">
        <v>93</v>
      </c>
      <c r="C44" s="885"/>
      <c r="D44" s="146"/>
      <c r="E44" s="886"/>
      <c r="F44" s="886"/>
      <c r="G44" s="289"/>
      <c r="H44" s="40"/>
      <c r="I44" s="822" t="s">
        <v>403</v>
      </c>
      <c r="J44" s="823" t="s">
        <v>402</v>
      </c>
      <c r="K44" s="823"/>
      <c r="L44" s="878"/>
    </row>
    <row r="45" ht="12.75" customHeight="1">
      <c r="A45" s="123"/>
      <c r="B45" s="839" t="s">
        <v>94</v>
      </c>
      <c r="C45" s="887"/>
      <c r="D45" s="888"/>
      <c r="E45" s="888"/>
      <c r="F45" s="888"/>
      <c r="G45" s="888"/>
      <c r="H45" s="844"/>
      <c r="I45" s="841"/>
      <c r="J45" s="163"/>
      <c r="K45" s="163"/>
      <c r="L45" s="164"/>
    </row>
    <row r="46" ht="12.75" customHeight="1">
      <c r="A46" s="889">
        <f>'1r'!C44</f>
        <v>45940</v>
      </c>
      <c r="B46" s="890"/>
      <c r="C46" s="76"/>
      <c r="D46" s="76"/>
      <c r="E46" s="76"/>
      <c r="F46" s="76"/>
      <c r="G46" s="76"/>
      <c r="H46" s="76"/>
      <c r="I46" s="76"/>
      <c r="J46" s="76"/>
      <c r="K46" s="76"/>
      <c r="L46" s="76"/>
    </row>
    <row r="47" ht="12.75" customHeight="1">
      <c r="A47" s="76"/>
      <c r="B47" s="891" t="s">
        <v>404</v>
      </c>
      <c r="C47" s="892"/>
      <c r="D47" s="892"/>
      <c r="E47" s="892"/>
      <c r="F47" s="892"/>
      <c r="G47" s="892"/>
      <c r="H47" s="892"/>
      <c r="I47" s="892"/>
      <c r="J47" s="76"/>
      <c r="K47" s="76"/>
      <c r="L47" s="76"/>
    </row>
    <row r="48" ht="12.75" customHeight="1">
      <c r="A48" s="76"/>
      <c r="B48" s="801" t="s">
        <v>405</v>
      </c>
      <c r="C48" s="76"/>
      <c r="D48" s="76"/>
      <c r="E48" s="76"/>
      <c r="F48" s="76"/>
      <c r="G48" s="76"/>
      <c r="H48" s="76"/>
      <c r="I48" s="76"/>
      <c r="J48" s="76"/>
      <c r="K48" s="76"/>
      <c r="L48" s="76"/>
    </row>
    <row r="49" ht="12.75" customHeight="1">
      <c r="A49" s="76"/>
      <c r="B49" s="893"/>
      <c r="C49" s="76"/>
      <c r="D49" s="170"/>
      <c r="E49" s="170"/>
      <c r="F49" s="170"/>
      <c r="G49" s="76"/>
      <c r="H49" s="76"/>
      <c r="I49" s="76"/>
      <c r="J49" s="76"/>
      <c r="K49" s="76"/>
      <c r="L49" s="76"/>
    </row>
  </sheetData>
  <mergeCells count="108">
    <mergeCell ref="J10:J11"/>
    <mergeCell ref="K10:K11"/>
    <mergeCell ref="H8:H9"/>
    <mergeCell ref="I8:I9"/>
    <mergeCell ref="J8:J9"/>
    <mergeCell ref="K8:K9"/>
    <mergeCell ref="L8:L9"/>
    <mergeCell ref="H10:H11"/>
    <mergeCell ref="I10:I11"/>
    <mergeCell ref="L10:L11"/>
    <mergeCell ref="B5:B6"/>
    <mergeCell ref="C5:C6"/>
    <mergeCell ref="C8:C9"/>
    <mergeCell ref="D8:D9"/>
    <mergeCell ref="E8:E9"/>
    <mergeCell ref="F8:F9"/>
    <mergeCell ref="G8:G9"/>
    <mergeCell ref="B8:B9"/>
    <mergeCell ref="B10:B11"/>
    <mergeCell ref="C10:C11"/>
    <mergeCell ref="D10:D11"/>
    <mergeCell ref="E10:E11"/>
    <mergeCell ref="F10:F11"/>
    <mergeCell ref="G10:G11"/>
    <mergeCell ref="D21:D22"/>
    <mergeCell ref="E22:E23"/>
    <mergeCell ref="F22:F23"/>
    <mergeCell ref="G22:G23"/>
    <mergeCell ref="H22:H23"/>
    <mergeCell ref="K22:K23"/>
    <mergeCell ref="C14:H14"/>
    <mergeCell ref="I14:L14"/>
    <mergeCell ref="C15:L16"/>
    <mergeCell ref="C17:L17"/>
    <mergeCell ref="C19:L19"/>
    <mergeCell ref="C21:C22"/>
    <mergeCell ref="B22:B23"/>
    <mergeCell ref="L22:L23"/>
    <mergeCell ref="J23:J24"/>
    <mergeCell ref="K25:K26"/>
    <mergeCell ref="L25:L26"/>
    <mergeCell ref="I21:I22"/>
    <mergeCell ref="J21:J22"/>
    <mergeCell ref="C23:C24"/>
    <mergeCell ref="D23:D24"/>
    <mergeCell ref="I23:I24"/>
    <mergeCell ref="E25:E26"/>
    <mergeCell ref="F25:F26"/>
    <mergeCell ref="B26:B27"/>
    <mergeCell ref="C26:C27"/>
    <mergeCell ref="D26:D27"/>
    <mergeCell ref="G26:G27"/>
    <mergeCell ref="H26:H27"/>
    <mergeCell ref="I26:I27"/>
    <mergeCell ref="J26:J27"/>
    <mergeCell ref="I28:I29"/>
    <mergeCell ref="J28:J29"/>
    <mergeCell ref="E27:E29"/>
    <mergeCell ref="F27:F29"/>
    <mergeCell ref="K27:K29"/>
    <mergeCell ref="L27:L29"/>
    <mergeCell ref="B28:B29"/>
    <mergeCell ref="C28:C29"/>
    <mergeCell ref="D28:D29"/>
    <mergeCell ref="G28:G29"/>
    <mergeCell ref="H28:H29"/>
    <mergeCell ref="C30:L30"/>
    <mergeCell ref="C31:G31"/>
    <mergeCell ref="I31:L31"/>
    <mergeCell ref="C32:G32"/>
    <mergeCell ref="C33:G33"/>
    <mergeCell ref="C34:L34"/>
    <mergeCell ref="K42:K43"/>
    <mergeCell ref="L42:L43"/>
    <mergeCell ref="I32:L32"/>
    <mergeCell ref="I33:L33"/>
    <mergeCell ref="G41:G42"/>
    <mergeCell ref="H41:H42"/>
    <mergeCell ref="D42:D43"/>
    <mergeCell ref="E42:E43"/>
    <mergeCell ref="F42:F43"/>
    <mergeCell ref="D5:D6"/>
    <mergeCell ref="E5:E6"/>
    <mergeCell ref="F5:F6"/>
    <mergeCell ref="G5:G6"/>
    <mergeCell ref="H5:H6"/>
    <mergeCell ref="I5:I6"/>
    <mergeCell ref="J5:J6"/>
    <mergeCell ref="K5:K6"/>
    <mergeCell ref="B1:L1"/>
    <mergeCell ref="C2:D2"/>
    <mergeCell ref="E2:F2"/>
    <mergeCell ref="G2:H2"/>
    <mergeCell ref="I2:J2"/>
    <mergeCell ref="K2:L2"/>
    <mergeCell ref="L5:L6"/>
    <mergeCell ref="A4:A13"/>
    <mergeCell ref="A14:A20"/>
    <mergeCell ref="A21:A30"/>
    <mergeCell ref="A31:A37"/>
    <mergeCell ref="A38:A45"/>
    <mergeCell ref="B42:B43"/>
    <mergeCell ref="C42:C43"/>
    <mergeCell ref="A46:B46"/>
    <mergeCell ref="I42:I43"/>
    <mergeCell ref="J42:J43"/>
    <mergeCell ref="G43:G44"/>
    <mergeCell ref="H43:H4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3.63"/>
    <col customWidth="1" min="3" max="3" width="8.75"/>
    <col customWidth="1" min="4" max="4" width="10.5"/>
    <col customWidth="1" min="5" max="5" width="10.88"/>
    <col customWidth="1" min="6" max="6" width="7.75"/>
    <col customWidth="1" min="7" max="7" width="9.63"/>
    <col customWidth="1" min="8" max="8" width="10.63"/>
    <col customWidth="1" min="9" max="10" width="10.38"/>
    <col customWidth="1" hidden="1" min="11" max="11" width="13.75"/>
    <col customWidth="1" min="12" max="13" width="10.13"/>
    <col customWidth="1" min="14" max="14" width="12.25"/>
    <col customWidth="1" min="15" max="15" width="11.5"/>
    <col customWidth="1" min="16" max="16" width="11.63"/>
    <col customWidth="1" min="17" max="17" width="16.75"/>
    <col customWidth="1" min="18" max="18" width="13.38"/>
    <col customWidth="1" min="19" max="19" width="14.63"/>
    <col customWidth="1" min="20" max="20" width="6.38"/>
  </cols>
  <sheetData>
    <row r="1" ht="17.25" customHeight="1">
      <c r="A1" s="894"/>
      <c r="B1" s="249" t="s">
        <v>406</v>
      </c>
      <c r="Q1" s="249"/>
    </row>
    <row r="2" ht="12.75" customHeight="1">
      <c r="A2" s="179"/>
      <c r="B2" s="179"/>
      <c r="C2" s="895" t="s">
        <v>407</v>
      </c>
      <c r="D2" s="6"/>
      <c r="E2" s="10"/>
      <c r="F2" s="896" t="s">
        <v>408</v>
      </c>
      <c r="G2" s="86"/>
      <c r="H2" s="897" t="s">
        <v>409</v>
      </c>
      <c r="I2" s="6"/>
      <c r="J2" s="10"/>
      <c r="K2" s="898" t="s">
        <v>410</v>
      </c>
      <c r="L2" s="895" t="s">
        <v>411</v>
      </c>
      <c r="M2" s="6"/>
      <c r="N2" s="10"/>
      <c r="O2" s="899" t="s">
        <v>412</v>
      </c>
      <c r="P2" s="6"/>
      <c r="Q2" s="10"/>
      <c r="R2" s="900" t="s">
        <v>413</v>
      </c>
      <c r="S2" s="86"/>
    </row>
    <row r="3" ht="12.75" customHeight="1">
      <c r="A3" s="179"/>
      <c r="B3" s="179"/>
      <c r="C3" s="901">
        <v>32411.0</v>
      </c>
      <c r="D3" s="124"/>
      <c r="E3" s="902">
        <v>32412.0</v>
      </c>
      <c r="F3" s="903" t="s">
        <v>414</v>
      </c>
      <c r="G3" s="92"/>
      <c r="H3" s="904">
        <v>32311.0</v>
      </c>
      <c r="I3" s="62"/>
      <c r="J3" s="905">
        <v>32312.0</v>
      </c>
      <c r="K3" s="105"/>
      <c r="L3" s="906">
        <v>32511.0</v>
      </c>
      <c r="M3" s="124"/>
      <c r="N3" s="907">
        <v>32512.0</v>
      </c>
      <c r="O3" s="908">
        <v>32611.0</v>
      </c>
      <c r="P3" s="45"/>
      <c r="Q3" s="909">
        <v>32612.0</v>
      </c>
      <c r="R3" s="59"/>
      <c r="S3" s="46"/>
    </row>
    <row r="4" ht="12.75" customHeight="1">
      <c r="A4" s="188" t="s">
        <v>74</v>
      </c>
      <c r="B4" s="253" t="s">
        <v>415</v>
      </c>
      <c r="C4" s="910"/>
      <c r="D4" s="530"/>
      <c r="E4" s="911"/>
      <c r="F4" s="912"/>
      <c r="G4" s="913"/>
      <c r="H4" s="914"/>
      <c r="I4" s="493"/>
      <c r="J4" s="915"/>
      <c r="K4" s="916"/>
      <c r="L4" s="910"/>
      <c r="M4" s="467"/>
      <c r="N4" s="911"/>
      <c r="O4" s="917" t="s">
        <v>416</v>
      </c>
      <c r="P4" s="6"/>
      <c r="Q4" s="10"/>
      <c r="R4" s="498"/>
      <c r="S4" s="497"/>
    </row>
    <row r="5" ht="12.75" customHeight="1">
      <c r="A5" s="59"/>
      <c r="B5" s="265" t="s">
        <v>81</v>
      </c>
      <c r="C5" s="498"/>
      <c r="D5" s="918"/>
      <c r="E5" s="919"/>
      <c r="F5" s="498"/>
      <c r="G5" s="497"/>
      <c r="H5" s="918"/>
      <c r="I5" s="496"/>
      <c r="J5" s="919"/>
      <c r="K5" s="920"/>
      <c r="L5" s="498"/>
      <c r="M5" s="496"/>
      <c r="N5" s="919"/>
      <c r="O5" s="921" t="s">
        <v>417</v>
      </c>
      <c r="P5" s="13"/>
      <c r="Q5" s="922" t="s">
        <v>418</v>
      </c>
      <c r="R5" s="498"/>
      <c r="S5" s="497"/>
    </row>
    <row r="6" ht="12.75" customHeight="1">
      <c r="A6" s="59"/>
      <c r="B6" s="265" t="s">
        <v>83</v>
      </c>
      <c r="C6" s="498"/>
      <c r="D6" s="918"/>
      <c r="E6" s="919"/>
      <c r="F6" s="498"/>
      <c r="G6" s="497"/>
      <c r="H6" s="918"/>
      <c r="I6" s="496"/>
      <c r="J6" s="919"/>
      <c r="K6" s="920"/>
      <c r="L6" s="498"/>
      <c r="M6" s="496"/>
      <c r="N6" s="918"/>
      <c r="O6" s="923"/>
      <c r="P6" s="924"/>
      <c r="R6" s="498"/>
      <c r="S6" s="497"/>
    </row>
    <row r="7" ht="12.75" customHeight="1">
      <c r="A7" s="59"/>
      <c r="B7" s="265" t="s">
        <v>87</v>
      </c>
      <c r="C7" s="498"/>
      <c r="D7" s="918"/>
      <c r="E7" s="919"/>
      <c r="F7" s="498"/>
      <c r="G7" s="497"/>
      <c r="H7" s="918"/>
      <c r="I7" s="496"/>
      <c r="J7" s="919"/>
      <c r="K7" s="920"/>
      <c r="L7" s="498"/>
      <c r="M7" s="496"/>
      <c r="N7" s="918"/>
      <c r="O7" s="923"/>
      <c r="P7" s="924"/>
      <c r="Q7" s="925"/>
      <c r="R7" s="498"/>
      <c r="S7" s="497"/>
    </row>
    <row r="8" ht="7.5" customHeight="1">
      <c r="A8" s="59"/>
      <c r="B8" s="926" t="s">
        <v>92</v>
      </c>
      <c r="C8" s="927"/>
      <c r="D8" s="928"/>
      <c r="E8" s="929"/>
      <c r="F8" s="927"/>
      <c r="G8" s="930"/>
      <c r="H8" s="931" t="s">
        <v>419</v>
      </c>
      <c r="I8" s="33"/>
      <c r="J8" s="932"/>
      <c r="K8" s="933" t="s">
        <v>420</v>
      </c>
      <c r="L8" s="934" t="s">
        <v>421</v>
      </c>
      <c r="M8" s="33"/>
      <c r="N8" s="935"/>
      <c r="O8" s="936"/>
      <c r="P8" s="937"/>
      <c r="Q8" s="938"/>
      <c r="R8" s="498"/>
      <c r="S8" s="497"/>
      <c r="T8" s="939"/>
    </row>
    <row r="9" ht="9.0" customHeight="1">
      <c r="A9" s="59"/>
      <c r="B9" s="679"/>
      <c r="C9" s="28"/>
      <c r="D9" s="39"/>
      <c r="E9" s="38"/>
      <c r="F9" s="28"/>
      <c r="G9" s="290"/>
      <c r="H9" s="38"/>
      <c r="I9" s="39"/>
      <c r="J9" s="290"/>
      <c r="K9" s="940"/>
      <c r="L9" s="38"/>
      <c r="M9" s="39"/>
      <c r="N9" s="40"/>
      <c r="O9" s="28"/>
      <c r="P9" s="289"/>
      <c r="Q9" s="290"/>
      <c r="R9" s="941" t="s">
        <v>422</v>
      </c>
      <c r="S9" s="16"/>
      <c r="T9" s="939"/>
    </row>
    <row r="10" ht="12.75" customHeight="1">
      <c r="A10" s="59"/>
      <c r="B10" s="265" t="s">
        <v>93</v>
      </c>
      <c r="C10" s="346" t="s">
        <v>423</v>
      </c>
      <c r="D10" s="12"/>
      <c r="E10" s="12"/>
      <c r="F10" s="942" t="s">
        <v>424</v>
      </c>
      <c r="G10" s="12"/>
      <c r="H10" s="12"/>
      <c r="I10" s="12"/>
      <c r="J10" s="12"/>
      <c r="K10" s="12"/>
      <c r="L10" s="12"/>
      <c r="M10" s="12"/>
      <c r="N10" s="12"/>
      <c r="O10" s="923"/>
      <c r="P10" s="924"/>
      <c r="Q10" s="943"/>
      <c r="R10" s="944" t="s">
        <v>425</v>
      </c>
      <c r="S10" s="16"/>
      <c r="T10" s="939"/>
    </row>
    <row r="11" ht="12.75" customHeight="1">
      <c r="A11" s="211"/>
      <c r="B11" s="291" t="s">
        <v>94</v>
      </c>
      <c r="C11" s="945" t="s">
        <v>426</v>
      </c>
      <c r="D11" s="124"/>
      <c r="E11" s="946" t="s">
        <v>427</v>
      </c>
      <c r="F11" s="947" t="s">
        <v>428</v>
      </c>
      <c r="G11" s="92"/>
      <c r="H11" s="173"/>
      <c r="I11" s="948"/>
      <c r="J11" s="949" t="s">
        <v>429</v>
      </c>
      <c r="K11" s="950" t="s">
        <v>430</v>
      </c>
      <c r="L11" s="951"/>
      <c r="M11" s="124"/>
      <c r="N11" s="952" t="s">
        <v>431</v>
      </c>
      <c r="O11" s="953"/>
      <c r="P11" s="954"/>
      <c r="Q11" s="955"/>
      <c r="R11" s="506"/>
      <c r="S11" s="508"/>
    </row>
    <row r="12" ht="12.75" customHeight="1">
      <c r="A12" s="188" t="s">
        <v>95</v>
      </c>
      <c r="B12" s="253" t="s">
        <v>415</v>
      </c>
      <c r="C12" s="912"/>
      <c r="D12" s="914"/>
      <c r="E12" s="915"/>
      <c r="F12" s="956"/>
      <c r="G12" s="957"/>
      <c r="H12" s="958"/>
      <c r="I12" s="959"/>
      <c r="J12" s="960"/>
      <c r="K12" s="961"/>
      <c r="L12" s="956"/>
      <c r="M12" s="959"/>
      <c r="N12" s="960"/>
      <c r="O12" s="917" t="s">
        <v>432</v>
      </c>
      <c r="P12" s="6"/>
      <c r="Q12" s="10"/>
      <c r="R12" s="944" t="s">
        <v>433</v>
      </c>
      <c r="S12" s="16"/>
    </row>
    <row r="13" ht="12.75" customHeight="1">
      <c r="A13" s="59"/>
      <c r="B13" s="265" t="s">
        <v>81</v>
      </c>
      <c r="C13" s="498"/>
      <c r="D13" s="918"/>
      <c r="E13" s="919"/>
      <c r="F13" s="923"/>
      <c r="G13" s="925"/>
      <c r="H13" s="962"/>
      <c r="I13" s="924"/>
      <c r="J13" s="963"/>
      <c r="K13" s="964"/>
      <c r="L13" s="923"/>
      <c r="M13" s="924"/>
      <c r="N13" s="963"/>
      <c r="O13" s="965" t="s">
        <v>434</v>
      </c>
      <c r="P13" s="13"/>
      <c r="Q13" s="966" t="s">
        <v>435</v>
      </c>
      <c r="R13" s="967" t="s">
        <v>436</v>
      </c>
      <c r="S13" s="968" t="s">
        <v>437</v>
      </c>
    </row>
    <row r="14" ht="12.75" customHeight="1">
      <c r="A14" s="59"/>
      <c r="B14" s="265" t="s">
        <v>83</v>
      </c>
      <c r="C14" s="498"/>
      <c r="D14" s="918"/>
      <c r="E14" s="919"/>
      <c r="F14" s="923"/>
      <c r="G14" s="925"/>
      <c r="H14" s="962"/>
      <c r="I14" s="924"/>
      <c r="J14" s="963"/>
      <c r="K14" s="964"/>
      <c r="L14" s="923"/>
      <c r="M14" s="924"/>
      <c r="N14" s="962"/>
      <c r="O14" s="923"/>
      <c r="P14" s="924"/>
      <c r="Q14" s="963"/>
      <c r="R14" s="498"/>
      <c r="S14" s="497"/>
    </row>
    <row r="15" ht="12.75" customHeight="1">
      <c r="A15" s="59"/>
      <c r="B15" s="265" t="s">
        <v>87</v>
      </c>
      <c r="C15" s="498"/>
      <c r="D15" s="918"/>
      <c r="E15" s="919"/>
      <c r="F15" s="923"/>
      <c r="G15" s="925"/>
      <c r="H15" s="962"/>
      <c r="I15" s="924"/>
      <c r="J15" s="963"/>
      <c r="K15" s="964"/>
      <c r="L15" s="923"/>
      <c r="M15" s="924"/>
      <c r="N15" s="962"/>
      <c r="O15" s="923"/>
      <c r="P15" s="924"/>
      <c r="Q15" s="963"/>
      <c r="R15" s="498"/>
      <c r="S15" s="497"/>
    </row>
    <row r="16" ht="12.75" customHeight="1">
      <c r="A16" s="59"/>
      <c r="B16" s="265" t="s">
        <v>92</v>
      </c>
      <c r="C16" s="969" t="s">
        <v>438</v>
      </c>
      <c r="D16" s="13"/>
      <c r="E16" s="970" t="s">
        <v>439</v>
      </c>
      <c r="F16" s="962"/>
      <c r="G16" s="925"/>
      <c r="H16" s="962"/>
      <c r="I16" s="924"/>
      <c r="J16" s="963"/>
      <c r="K16" s="964"/>
      <c r="L16" s="923"/>
      <c r="M16" s="924"/>
      <c r="N16" s="962"/>
      <c r="O16" s="923"/>
      <c r="P16" s="924"/>
      <c r="Q16" s="963"/>
      <c r="R16" s="498"/>
      <c r="S16" s="497"/>
    </row>
    <row r="17" ht="12.75" customHeight="1">
      <c r="A17" s="59"/>
      <c r="B17" s="265" t="s">
        <v>93</v>
      </c>
      <c r="C17" s="346" t="s">
        <v>440</v>
      </c>
      <c r="D17" s="12"/>
      <c r="E17" s="12"/>
      <c r="F17" s="971" t="s">
        <v>441</v>
      </c>
      <c r="G17" s="12"/>
      <c r="H17" s="12"/>
      <c r="I17" s="12"/>
      <c r="J17" s="12"/>
      <c r="K17" s="12"/>
      <c r="L17" s="12"/>
      <c r="M17" s="12"/>
      <c r="N17" s="16"/>
      <c r="O17" s="347"/>
      <c r="P17" s="972"/>
      <c r="Q17" s="973"/>
      <c r="R17" s="498"/>
      <c r="S17" s="497"/>
      <c r="T17" s="939"/>
    </row>
    <row r="18" ht="12.75" customHeight="1">
      <c r="A18" s="211"/>
      <c r="B18" s="291" t="s">
        <v>94</v>
      </c>
      <c r="C18" s="506"/>
      <c r="D18" s="530"/>
      <c r="E18" s="974"/>
      <c r="F18" s="966" t="s">
        <v>442</v>
      </c>
      <c r="G18" s="16"/>
      <c r="H18" s="945" t="s">
        <v>443</v>
      </c>
      <c r="I18" s="124"/>
      <c r="J18" s="975" t="s">
        <v>444</v>
      </c>
      <c r="K18" s="976" t="s">
        <v>445</v>
      </c>
      <c r="L18" s="977" t="s">
        <v>446</v>
      </c>
      <c r="M18" s="124"/>
      <c r="N18" s="978" t="s">
        <v>447</v>
      </c>
      <c r="O18" s="327"/>
      <c r="P18" s="328"/>
      <c r="Q18" s="979"/>
      <c r="R18" s="506"/>
      <c r="S18" s="508"/>
    </row>
    <row r="19" ht="8.25" customHeight="1">
      <c r="A19" s="188" t="s">
        <v>110</v>
      </c>
      <c r="B19" s="980" t="s">
        <v>415</v>
      </c>
      <c r="C19" s="981"/>
      <c r="D19" s="982"/>
      <c r="E19" s="983"/>
      <c r="F19" s="981"/>
      <c r="G19" s="983"/>
      <c r="H19" s="981"/>
      <c r="I19" s="982"/>
      <c r="J19" s="983"/>
      <c r="K19" s="984"/>
      <c r="L19" s="981"/>
      <c r="M19" s="982"/>
      <c r="N19" s="983"/>
      <c r="O19" s="282" t="s">
        <v>448</v>
      </c>
      <c r="P19" s="38"/>
      <c r="Q19" s="40"/>
      <c r="R19" s="985" t="s">
        <v>449</v>
      </c>
      <c r="S19" s="35"/>
    </row>
    <row r="20" ht="7.5" customHeight="1">
      <c r="A20" s="59"/>
      <c r="B20" s="679"/>
      <c r="C20" s="28"/>
      <c r="D20" s="39"/>
      <c r="E20" s="38"/>
      <c r="F20" s="28"/>
      <c r="G20" s="38"/>
      <c r="H20" s="28"/>
      <c r="I20" s="39"/>
      <c r="J20" s="38"/>
      <c r="K20" s="986"/>
      <c r="L20" s="28"/>
      <c r="M20" s="39"/>
      <c r="N20" s="38"/>
      <c r="O20" s="987" t="s">
        <v>450</v>
      </c>
      <c r="P20" s="39"/>
      <c r="Q20" s="988"/>
      <c r="R20" s="60"/>
      <c r="S20" s="40"/>
    </row>
    <row r="21" ht="8.25" customHeight="1">
      <c r="A21" s="59"/>
      <c r="B21" s="926" t="s">
        <v>81</v>
      </c>
      <c r="C21" s="927"/>
      <c r="D21" s="928"/>
      <c r="E21" s="929"/>
      <c r="F21" s="927"/>
      <c r="G21" s="930"/>
      <c r="H21" s="928"/>
      <c r="I21" s="989"/>
      <c r="J21" s="929"/>
      <c r="K21" s="990"/>
      <c r="L21" s="927"/>
      <c r="M21" s="989"/>
      <c r="N21" s="991"/>
      <c r="O21" s="992" t="s">
        <v>451</v>
      </c>
      <c r="P21" s="993" t="s">
        <v>452</v>
      </c>
      <c r="Q21" s="993" t="s">
        <v>453</v>
      </c>
      <c r="R21" s="994" t="s">
        <v>454</v>
      </c>
      <c r="S21" s="995"/>
    </row>
    <row r="22" ht="8.25" customHeight="1">
      <c r="A22" s="59"/>
      <c r="B22" s="679"/>
      <c r="C22" s="28"/>
      <c r="D22" s="39"/>
      <c r="E22" s="38"/>
      <c r="F22" s="28"/>
      <c r="G22" s="290"/>
      <c r="H22" s="39"/>
      <c r="I22" s="289"/>
      <c r="J22" s="38"/>
      <c r="K22" s="990"/>
      <c r="L22" s="28"/>
      <c r="M22" s="289"/>
      <c r="N22" s="38"/>
      <c r="O22" s="28"/>
      <c r="P22" s="39"/>
      <c r="Q22" s="39"/>
      <c r="R22" s="28"/>
      <c r="S22" s="290"/>
    </row>
    <row r="23" ht="12.75" customHeight="1">
      <c r="A23" s="59"/>
      <c r="B23" s="265" t="s">
        <v>83</v>
      </c>
      <c r="C23" s="498"/>
      <c r="D23" s="918"/>
      <c r="E23" s="919"/>
      <c r="F23" s="498"/>
      <c r="G23" s="497"/>
      <c r="H23" s="918"/>
      <c r="I23" s="496"/>
      <c r="J23" s="919"/>
      <c r="K23" s="990"/>
      <c r="L23" s="498"/>
      <c r="M23" s="496"/>
      <c r="N23" s="918"/>
      <c r="O23" s="996"/>
      <c r="P23" s="972"/>
      <c r="Q23" s="997" t="s">
        <v>455</v>
      </c>
      <c r="R23" s="998"/>
      <c r="S23" s="999" t="s">
        <v>454</v>
      </c>
    </row>
    <row r="24" ht="8.25" customHeight="1">
      <c r="A24" s="59"/>
      <c r="B24" s="926" t="s">
        <v>87</v>
      </c>
      <c r="C24" s="927"/>
      <c r="D24" s="928"/>
      <c r="E24" s="929"/>
      <c r="F24" s="927"/>
      <c r="G24" s="930"/>
      <c r="H24" s="928"/>
      <c r="I24" s="989"/>
      <c r="J24" s="929"/>
      <c r="K24" s="990"/>
      <c r="L24" s="927"/>
      <c r="M24" s="989"/>
      <c r="N24" s="929"/>
      <c r="O24" s="1000"/>
      <c r="P24" s="1001"/>
      <c r="Q24" s="1002"/>
      <c r="R24" s="1003"/>
      <c r="S24" s="1004"/>
    </row>
    <row r="25" ht="6.0" customHeight="1">
      <c r="A25" s="59"/>
      <c r="B25" s="679"/>
      <c r="C25" s="28"/>
      <c r="D25" s="39"/>
      <c r="E25" s="38"/>
      <c r="F25" s="28"/>
      <c r="G25" s="290"/>
      <c r="H25" s="39"/>
      <c r="I25" s="289"/>
      <c r="J25" s="38"/>
      <c r="K25" s="1005"/>
      <c r="L25" s="28"/>
      <c r="M25" s="289"/>
      <c r="N25" s="38"/>
      <c r="O25" s="28"/>
      <c r="P25" s="289"/>
      <c r="Q25" s="38"/>
      <c r="R25" s="28"/>
      <c r="S25" s="290"/>
    </row>
    <row r="26" ht="12.75" customHeight="1">
      <c r="A26" s="59"/>
      <c r="B26" s="265" t="s">
        <v>92</v>
      </c>
      <c r="C26" s="1006" t="s">
        <v>456</v>
      </c>
      <c r="D26" s="13"/>
      <c r="E26" s="970" t="s">
        <v>457</v>
      </c>
      <c r="F26" s="1007" t="s">
        <v>458</v>
      </c>
      <c r="G26" s="497"/>
      <c r="H26" s="1008" t="s">
        <v>459</v>
      </c>
      <c r="I26" s="13"/>
      <c r="J26" s="1009"/>
      <c r="K26" s="1010"/>
      <c r="L26" s="1008" t="s">
        <v>460</v>
      </c>
      <c r="M26" s="13"/>
      <c r="N26" s="1011" t="s">
        <v>461</v>
      </c>
      <c r="O26" s="996"/>
      <c r="P26" s="972"/>
      <c r="Q26" s="973"/>
      <c r="R26" s="1012"/>
      <c r="S26" s="1013"/>
    </row>
    <row r="27" ht="12.75" customHeight="1">
      <c r="A27" s="59"/>
      <c r="B27" s="265" t="s">
        <v>93</v>
      </c>
      <c r="C27" s="346" t="s">
        <v>462</v>
      </c>
      <c r="D27" s="12"/>
      <c r="E27" s="12"/>
      <c r="F27" s="451" t="s">
        <v>463</v>
      </c>
      <c r="G27" s="12"/>
      <c r="H27" s="12"/>
      <c r="I27" s="12"/>
      <c r="J27" s="12"/>
      <c r="K27" s="1014"/>
      <c r="L27" s="944" t="s">
        <v>464</v>
      </c>
      <c r="M27" s="12"/>
      <c r="N27" s="13"/>
      <c r="O27" s="996"/>
      <c r="P27" s="972"/>
      <c r="Q27" s="973"/>
      <c r="R27" s="1012"/>
      <c r="S27" s="1013"/>
      <c r="T27" s="939"/>
    </row>
    <row r="28" ht="12.75" customHeight="1">
      <c r="A28" s="211"/>
      <c r="B28" s="291" t="s">
        <v>94</v>
      </c>
      <c r="C28" s="506"/>
      <c r="D28" s="530"/>
      <c r="E28" s="1015"/>
      <c r="F28" s="506"/>
      <c r="G28" s="508"/>
      <c r="H28" s="1016"/>
      <c r="I28" s="507"/>
      <c r="J28" s="1017" t="s">
        <v>465</v>
      </c>
      <c r="K28" s="1018"/>
      <c r="L28" s="1019" t="s">
        <v>466</v>
      </c>
      <c r="M28" s="124"/>
      <c r="N28" s="1020" t="s">
        <v>467</v>
      </c>
      <c r="O28" s="327"/>
      <c r="P28" s="328"/>
      <c r="Q28" s="979"/>
      <c r="R28" s="1021"/>
      <c r="S28" s="1022"/>
    </row>
    <row r="29" ht="12.75" customHeight="1">
      <c r="A29" s="188" t="s">
        <v>114</v>
      </c>
      <c r="B29" s="253" t="s">
        <v>415</v>
      </c>
      <c r="C29" s="912"/>
      <c r="D29" s="914"/>
      <c r="E29" s="915"/>
      <c r="F29" s="912"/>
      <c r="G29" s="913"/>
      <c r="H29" s="914"/>
      <c r="I29" s="493"/>
      <c r="J29" s="915"/>
      <c r="K29" s="984"/>
      <c r="L29" s="912"/>
      <c r="M29" s="1023"/>
      <c r="N29" s="915"/>
      <c r="O29" s="1024"/>
      <c r="P29" s="1025"/>
      <c r="Q29" s="1026"/>
      <c r="R29" s="944" t="s">
        <v>468</v>
      </c>
      <c r="S29" s="13"/>
    </row>
    <row r="30" ht="12.75" customHeight="1">
      <c r="A30" s="59"/>
      <c r="B30" s="265" t="s">
        <v>81</v>
      </c>
      <c r="C30" s="498"/>
      <c r="D30" s="918"/>
      <c r="E30" s="919"/>
      <c r="F30" s="498"/>
      <c r="G30" s="497"/>
      <c r="H30" s="918"/>
      <c r="I30" s="496"/>
      <c r="J30" s="919"/>
      <c r="K30" s="920"/>
      <c r="L30" s="498"/>
      <c r="M30" s="496"/>
      <c r="N30" s="918"/>
      <c r="O30" s="996"/>
      <c r="P30" s="972"/>
      <c r="Q30" s="973"/>
      <c r="R30" s="967" t="s">
        <v>469</v>
      </c>
      <c r="S30" s="1027" t="s">
        <v>470</v>
      </c>
    </row>
    <row r="31" ht="12.75" customHeight="1">
      <c r="A31" s="59"/>
      <c r="B31" s="265" t="s">
        <v>83</v>
      </c>
      <c r="C31" s="498"/>
      <c r="D31" s="918"/>
      <c r="E31" s="919"/>
      <c r="F31" s="498"/>
      <c r="G31" s="497"/>
      <c r="H31" s="918"/>
      <c r="I31" s="496"/>
      <c r="J31" s="919"/>
      <c r="K31" s="920"/>
      <c r="L31" s="498"/>
      <c r="M31" s="496"/>
      <c r="N31" s="918"/>
      <c r="O31" s="996"/>
      <c r="P31" s="972"/>
      <c r="Q31" s="973"/>
      <c r="R31" s="498"/>
      <c r="S31" s="497"/>
    </row>
    <row r="32" ht="12.75" customHeight="1">
      <c r="A32" s="59"/>
      <c r="B32" s="265" t="s">
        <v>87</v>
      </c>
      <c r="C32" s="498"/>
      <c r="D32" s="918"/>
      <c r="E32" s="919"/>
      <c r="F32" s="498"/>
      <c r="G32" s="497"/>
      <c r="H32" s="918"/>
      <c r="I32" s="496"/>
      <c r="J32" s="919"/>
      <c r="K32" s="920"/>
      <c r="L32" s="498"/>
      <c r="M32" s="496"/>
      <c r="N32" s="918"/>
      <c r="O32" s="996"/>
      <c r="P32" s="972"/>
      <c r="Q32" s="1028"/>
      <c r="R32" s="498"/>
      <c r="S32" s="497"/>
    </row>
    <row r="33" ht="8.25" customHeight="1">
      <c r="A33" s="59"/>
      <c r="B33" s="926" t="s">
        <v>92</v>
      </c>
      <c r="C33" s="1029" t="s">
        <v>471</v>
      </c>
      <c r="D33" s="33"/>
      <c r="E33" s="1030" t="s">
        <v>472</v>
      </c>
      <c r="F33" s="1028"/>
      <c r="G33" s="1031"/>
      <c r="H33" s="1032" t="s">
        <v>473</v>
      </c>
      <c r="J33" s="46"/>
      <c r="K33" s="1033"/>
      <c r="L33" s="927"/>
      <c r="M33" s="989"/>
      <c r="N33" s="1034"/>
      <c r="P33" s="45"/>
      <c r="Q33" s="1035" t="s">
        <v>474</v>
      </c>
      <c r="R33" s="927"/>
      <c r="S33" s="930"/>
    </row>
    <row r="34" ht="9.75" customHeight="1">
      <c r="A34" s="59"/>
      <c r="B34" s="679"/>
      <c r="C34" s="60"/>
      <c r="D34" s="39"/>
      <c r="E34" s="40"/>
      <c r="F34" s="1028" t="s">
        <v>475</v>
      </c>
      <c r="G34" s="16"/>
      <c r="H34" s="38"/>
      <c r="I34" s="38"/>
      <c r="J34" s="40"/>
      <c r="K34" s="1033"/>
      <c r="L34" s="28"/>
      <c r="M34" s="289"/>
      <c r="N34" s="40"/>
      <c r="O34" s="1036" t="s">
        <v>476</v>
      </c>
      <c r="P34" s="33"/>
      <c r="Q34" s="38"/>
      <c r="R34" s="28"/>
      <c r="S34" s="290"/>
    </row>
    <row r="35" ht="9.0" customHeight="1">
      <c r="A35" s="59"/>
      <c r="B35" s="926" t="s">
        <v>93</v>
      </c>
      <c r="C35" s="1037" t="s">
        <v>477</v>
      </c>
      <c r="D35" s="32"/>
      <c r="E35" s="32"/>
      <c r="F35" s="1038" t="s">
        <v>478</v>
      </c>
      <c r="G35" s="35"/>
      <c r="H35" s="1028" t="s">
        <v>479</v>
      </c>
      <c r="I35" s="12"/>
      <c r="J35" s="13"/>
      <c r="K35" s="1007"/>
      <c r="L35" s="1039" t="s">
        <v>480</v>
      </c>
      <c r="M35" s="32"/>
      <c r="N35" s="33"/>
      <c r="O35" s="59"/>
      <c r="P35" s="45"/>
      <c r="Q35" s="1040" t="s">
        <v>481</v>
      </c>
      <c r="R35" s="927"/>
      <c r="S35" s="930"/>
      <c r="T35" s="939"/>
    </row>
    <row r="36" ht="8.25" customHeight="1">
      <c r="A36" s="59"/>
      <c r="B36" s="679"/>
      <c r="C36" s="60"/>
      <c r="D36" s="38"/>
      <c r="E36" s="38"/>
      <c r="F36" s="60"/>
      <c r="G36" s="40"/>
      <c r="H36" s="1041"/>
      <c r="I36" s="1041"/>
      <c r="J36" s="1042"/>
      <c r="K36" s="1043"/>
      <c r="L36" s="60"/>
      <c r="M36" s="38"/>
      <c r="N36" s="39"/>
      <c r="O36" s="1044" t="s">
        <v>482</v>
      </c>
      <c r="P36" s="33"/>
      <c r="Q36" s="38"/>
      <c r="R36" s="28"/>
      <c r="S36" s="290"/>
      <c r="T36" s="939"/>
    </row>
    <row r="37" ht="10.5" customHeight="1">
      <c r="A37" s="59"/>
      <c r="B37" s="926" t="s">
        <v>94</v>
      </c>
      <c r="C37" s="1045" t="s">
        <v>215</v>
      </c>
      <c r="D37" s="32"/>
      <c r="E37" s="32"/>
      <c r="F37" s="927"/>
      <c r="G37" s="1046"/>
      <c r="H37" s="927"/>
      <c r="I37" s="989"/>
      <c r="J37" s="1046"/>
      <c r="K37" s="1047"/>
      <c r="L37" s="927"/>
      <c r="M37" s="989"/>
      <c r="N37" s="1046"/>
      <c r="O37" s="60"/>
      <c r="P37" s="39"/>
      <c r="Q37" s="928"/>
      <c r="R37" s="927"/>
      <c r="S37" s="930"/>
    </row>
    <row r="38" ht="6.75" customHeight="1">
      <c r="A38" s="211"/>
      <c r="B38" s="123"/>
      <c r="C38" s="60"/>
      <c r="D38" s="38"/>
      <c r="E38" s="38"/>
      <c r="F38" s="54"/>
      <c r="G38" s="44"/>
      <c r="H38" s="54"/>
      <c r="I38" s="535"/>
      <c r="J38" s="44"/>
      <c r="K38" s="1048"/>
      <c r="L38" s="54"/>
      <c r="M38" s="535"/>
      <c r="N38" s="44"/>
      <c r="O38" s="1049"/>
      <c r="P38" s="1050"/>
      <c r="Q38" s="45"/>
      <c r="R38" s="1051"/>
      <c r="S38" s="1052"/>
    </row>
    <row r="39" ht="17.25" customHeight="1">
      <c r="A39" s="1053" t="s">
        <v>125</v>
      </c>
      <c r="B39" s="253" t="s">
        <v>415</v>
      </c>
      <c r="C39" s="1054"/>
      <c r="D39" s="1054"/>
      <c r="E39" s="1055"/>
      <c r="F39" s="1056"/>
      <c r="G39" s="1055"/>
      <c r="H39" s="1054"/>
      <c r="I39" s="1054"/>
      <c r="J39" s="1055"/>
      <c r="K39" s="1054"/>
      <c r="L39" s="1054"/>
      <c r="M39" s="1054"/>
      <c r="N39" s="1055"/>
      <c r="O39" s="1054"/>
      <c r="P39" s="1054"/>
      <c r="Q39" s="1055"/>
      <c r="R39" s="1057" t="s">
        <v>483</v>
      </c>
      <c r="S39" s="16"/>
    </row>
    <row r="40" ht="12.75" customHeight="1">
      <c r="A40" s="54"/>
      <c r="B40" s="265" t="s">
        <v>81</v>
      </c>
      <c r="C40" s="1058" t="s">
        <v>484</v>
      </c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40"/>
      <c r="O40" s="1059" t="s">
        <v>484</v>
      </c>
      <c r="P40" s="38"/>
      <c r="Q40" s="40"/>
      <c r="R40" s="498"/>
      <c r="S40" s="497"/>
    </row>
    <row r="41" ht="12.75" customHeight="1">
      <c r="A41" s="54"/>
      <c r="B41" s="265" t="s">
        <v>83</v>
      </c>
      <c r="C41" s="498"/>
      <c r="D41" s="918"/>
      <c r="E41" s="919"/>
      <c r="F41" s="1060" t="s">
        <v>485</v>
      </c>
      <c r="G41" s="12"/>
      <c r="H41" s="12"/>
      <c r="I41" s="12"/>
      <c r="J41" s="12"/>
      <c r="K41" s="12"/>
      <c r="L41" s="12"/>
      <c r="M41" s="12"/>
      <c r="N41" s="12"/>
      <c r="O41" s="996"/>
      <c r="P41" s="972"/>
      <c r="Q41" s="973"/>
      <c r="R41" s="498"/>
      <c r="S41" s="497"/>
    </row>
    <row r="42" ht="12.75" customHeight="1">
      <c r="A42" s="54"/>
      <c r="B42" s="265" t="s">
        <v>87</v>
      </c>
      <c r="C42" s="498"/>
      <c r="D42" s="918"/>
      <c r="E42" s="919"/>
      <c r="F42" s="498"/>
      <c r="G42" s="497"/>
      <c r="H42" s="918"/>
      <c r="I42" s="496"/>
      <c r="J42" s="919"/>
      <c r="K42" s="920"/>
      <c r="L42" s="498"/>
      <c r="M42" s="496"/>
      <c r="N42" s="919"/>
      <c r="O42" s="996"/>
      <c r="P42" s="972"/>
      <c r="Q42" s="973"/>
      <c r="R42" s="498"/>
      <c r="S42" s="497"/>
    </row>
    <row r="43" ht="12.75" customHeight="1">
      <c r="A43" s="54"/>
      <c r="B43" s="265" t="s">
        <v>92</v>
      </c>
      <c r="C43" s="498"/>
      <c r="D43" s="918"/>
      <c r="E43" s="919"/>
      <c r="F43" s="498"/>
      <c r="G43" s="497"/>
      <c r="H43" s="918"/>
      <c r="I43" s="496"/>
      <c r="J43" s="919"/>
      <c r="K43" s="920"/>
      <c r="L43" s="498"/>
      <c r="M43" s="496"/>
      <c r="N43" s="919"/>
      <c r="O43" s="996"/>
      <c r="P43" s="972"/>
      <c r="Q43" s="1061"/>
      <c r="R43" s="1062" t="s">
        <v>484</v>
      </c>
      <c r="S43" s="46"/>
    </row>
    <row r="44" ht="12.75" customHeight="1">
      <c r="A44" s="54"/>
      <c r="B44" s="306" t="s">
        <v>93</v>
      </c>
      <c r="C44" s="498"/>
      <c r="D44" s="918"/>
      <c r="E44" s="919"/>
      <c r="F44" s="498"/>
      <c r="G44" s="497"/>
      <c r="H44" s="918"/>
      <c r="I44" s="496"/>
      <c r="J44" s="919"/>
      <c r="K44" s="920"/>
      <c r="L44" s="498"/>
      <c r="M44" s="496"/>
      <c r="N44" s="919"/>
      <c r="O44" s="1063"/>
      <c r="P44" s="13"/>
      <c r="Q44" s="1061"/>
      <c r="R44" s="38"/>
      <c r="S44" s="40"/>
    </row>
    <row r="45" ht="12.75" customHeight="1">
      <c r="A45" s="1051"/>
      <c r="B45" s="291" t="s">
        <v>94</v>
      </c>
      <c r="C45" s="506"/>
      <c r="D45" s="1015"/>
      <c r="E45" s="1015"/>
      <c r="F45" s="506"/>
      <c r="G45" s="974"/>
      <c r="H45" s="1016"/>
      <c r="I45" s="507"/>
      <c r="J45" s="1015"/>
      <c r="K45" s="1064"/>
      <c r="L45" s="506"/>
      <c r="M45" s="507"/>
      <c r="N45" s="1016"/>
      <c r="O45" s="1065"/>
      <c r="P45" s="1066"/>
      <c r="Q45" s="1067"/>
      <c r="R45" s="506"/>
      <c r="S45" s="508"/>
    </row>
    <row r="46" ht="12.75" customHeight="1">
      <c r="A46" s="1068" t="s">
        <v>486</v>
      </c>
      <c r="C46" s="1069" t="s">
        <v>487</v>
      </c>
      <c r="F46" s="1069" t="s">
        <v>488</v>
      </c>
      <c r="H46" s="1070" t="s">
        <v>489</v>
      </c>
      <c r="K46" s="1071" t="s">
        <v>490</v>
      </c>
      <c r="L46" s="1070" t="s">
        <v>491</v>
      </c>
      <c r="O46" s="1072" t="s">
        <v>492</v>
      </c>
      <c r="Q46" s="1072"/>
      <c r="R46" s="1072" t="s">
        <v>493</v>
      </c>
    </row>
    <row r="47" ht="12.75" customHeight="1">
      <c r="A47" s="1"/>
      <c r="B47" s="1073" t="s">
        <v>494</v>
      </c>
      <c r="Q47" s="1073"/>
    </row>
    <row r="48" ht="12.75" customHeight="1">
      <c r="A48" s="1"/>
      <c r="F48" s="1"/>
      <c r="G48" s="1"/>
      <c r="H48" s="1"/>
      <c r="I48" s="1"/>
      <c r="J48" s="1"/>
      <c r="K48" s="1074"/>
      <c r="L48" s="1"/>
      <c r="M48" s="1"/>
      <c r="N48" s="1"/>
      <c r="O48" s="1"/>
      <c r="P48" s="1"/>
      <c r="Q48" s="1"/>
    </row>
    <row r="49" ht="12.75" customHeight="1">
      <c r="A49" s="1"/>
      <c r="B49" s="1075">
        <f>'1r'!C44</f>
        <v>45940</v>
      </c>
      <c r="C49" s="1076"/>
      <c r="D49" s="1077"/>
      <c r="E49" s="1077"/>
      <c r="F49" s="1"/>
      <c r="G49" s="1"/>
      <c r="H49" s="1"/>
      <c r="I49" s="1"/>
      <c r="J49" s="1"/>
      <c r="K49" s="1074"/>
      <c r="L49" s="1"/>
      <c r="M49" s="1"/>
      <c r="N49" s="1"/>
      <c r="Q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074"/>
      <c r="L50" s="1"/>
      <c r="M50" s="1"/>
      <c r="N50" s="1"/>
      <c r="O50" s="1"/>
      <c r="P50" s="1"/>
      <c r="Q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074"/>
      <c r="L51" s="1"/>
      <c r="M51" s="1"/>
      <c r="N51" s="1"/>
      <c r="O51" s="1"/>
      <c r="P51" s="1"/>
      <c r="Q51" s="1"/>
    </row>
    <row r="52">
      <c r="A52" s="1"/>
      <c r="B52" s="1"/>
      <c r="C52" s="1"/>
      <c r="H52" s="1"/>
      <c r="I52" s="1"/>
      <c r="J52" s="1"/>
      <c r="K52" s="1074"/>
      <c r="L52" s="1"/>
      <c r="M52" s="1"/>
      <c r="N52" s="1"/>
      <c r="O52" s="1"/>
      <c r="P52" s="1"/>
      <c r="Q52" s="1"/>
    </row>
    <row r="53">
      <c r="A53" s="74"/>
      <c r="B53" s="74"/>
      <c r="C53" s="74"/>
      <c r="H53" s="74"/>
      <c r="I53" s="74"/>
      <c r="J53" s="74"/>
      <c r="K53" s="1078"/>
      <c r="L53" s="74"/>
      <c r="M53" s="74"/>
      <c r="N53" s="74"/>
      <c r="O53" s="74"/>
      <c r="P53" s="74"/>
      <c r="Q53" s="74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1078"/>
      <c r="L54" s="74"/>
      <c r="M54" s="74"/>
      <c r="N54" s="74"/>
      <c r="O54" s="74"/>
      <c r="P54" s="74"/>
      <c r="Q54" s="74"/>
    </row>
    <row r="5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1078"/>
      <c r="L55" s="74"/>
      <c r="M55" s="74"/>
      <c r="N55" s="74"/>
      <c r="O55" s="74"/>
      <c r="P55" s="74"/>
      <c r="Q55" s="74"/>
    </row>
    <row r="56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1078"/>
      <c r="L56" s="74"/>
      <c r="M56" s="74"/>
      <c r="N56" s="74"/>
      <c r="O56" s="74"/>
      <c r="P56" s="74"/>
      <c r="Q56" s="74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1078"/>
      <c r="L57" s="74"/>
      <c r="M57" s="74"/>
      <c r="N57" s="74"/>
      <c r="O57" s="74"/>
      <c r="P57" s="74"/>
      <c r="Q57" s="74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1078"/>
      <c r="L58" s="74"/>
      <c r="M58" s="74"/>
      <c r="N58" s="74"/>
      <c r="O58" s="74"/>
      <c r="P58" s="74"/>
      <c r="Q58" s="74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1078"/>
      <c r="L59" s="74"/>
      <c r="M59" s="74"/>
      <c r="N59" s="74"/>
      <c r="O59" s="74"/>
      <c r="P59" s="74"/>
      <c r="Q59" s="74"/>
    </row>
    <row r="60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1078"/>
      <c r="L60" s="74"/>
      <c r="M60" s="74"/>
      <c r="N60" s="74"/>
      <c r="O60" s="74"/>
      <c r="P60" s="74"/>
      <c r="Q60" s="74"/>
    </row>
    <row r="6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1078"/>
      <c r="L61" s="74"/>
      <c r="M61" s="74"/>
      <c r="N61" s="74"/>
      <c r="O61" s="74"/>
      <c r="P61" s="74"/>
      <c r="Q61" s="74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1078"/>
      <c r="L62" s="74"/>
      <c r="M62" s="74"/>
      <c r="N62" s="74"/>
      <c r="O62" s="74"/>
      <c r="P62" s="74"/>
      <c r="Q62" s="74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1078"/>
      <c r="L63" s="74"/>
      <c r="M63" s="74"/>
      <c r="N63" s="74"/>
      <c r="O63" s="74"/>
      <c r="P63" s="74"/>
      <c r="Q63" s="74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1078"/>
      <c r="L64" s="74"/>
      <c r="M64" s="74"/>
      <c r="N64" s="74"/>
      <c r="O64" s="74"/>
      <c r="P64" s="74"/>
      <c r="Q64" s="74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1078"/>
      <c r="L65" s="74"/>
      <c r="M65" s="74"/>
      <c r="N65" s="74"/>
      <c r="O65" s="74"/>
      <c r="P65" s="74"/>
      <c r="Q65" s="74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1078"/>
      <c r="L66" s="74"/>
      <c r="M66" s="74"/>
      <c r="N66" s="74"/>
      <c r="O66" s="74"/>
      <c r="P66" s="74"/>
      <c r="Q66" s="74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1078"/>
      <c r="L67" s="74"/>
      <c r="M67" s="74"/>
      <c r="N67" s="74"/>
      <c r="O67" s="74"/>
      <c r="P67" s="74"/>
      <c r="Q67" s="74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1078"/>
      <c r="L68" s="74"/>
      <c r="M68" s="74"/>
      <c r="N68" s="74"/>
      <c r="O68" s="74"/>
      <c r="P68" s="74"/>
      <c r="Q68" s="74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1078"/>
      <c r="L69" s="74"/>
      <c r="M69" s="74"/>
      <c r="N69" s="74"/>
      <c r="O69" s="74"/>
      <c r="P69" s="74"/>
      <c r="Q69" s="74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1078"/>
      <c r="L70" s="74"/>
      <c r="M70" s="74"/>
      <c r="N70" s="74"/>
      <c r="O70" s="74"/>
      <c r="P70" s="74"/>
      <c r="Q70" s="74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1078"/>
      <c r="L71" s="74"/>
      <c r="M71" s="74"/>
      <c r="N71" s="74"/>
      <c r="O71" s="74"/>
      <c r="P71" s="74"/>
      <c r="Q71" s="74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1078"/>
      <c r="L72" s="74"/>
      <c r="M72" s="74"/>
      <c r="N72" s="74"/>
      <c r="O72" s="74"/>
      <c r="P72" s="74"/>
      <c r="Q72" s="74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1078"/>
      <c r="L73" s="74"/>
      <c r="M73" s="74"/>
      <c r="N73" s="74"/>
      <c r="O73" s="74"/>
      <c r="P73" s="74"/>
      <c r="Q73" s="74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1078"/>
      <c r="L74" s="74"/>
      <c r="M74" s="74"/>
      <c r="N74" s="74"/>
      <c r="O74" s="74"/>
      <c r="P74" s="74"/>
      <c r="Q74" s="74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1078"/>
      <c r="L75" s="74"/>
      <c r="M75" s="74"/>
      <c r="N75" s="74"/>
      <c r="O75" s="74"/>
      <c r="P75" s="74"/>
      <c r="Q75" s="74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1078"/>
      <c r="L76" s="74"/>
      <c r="M76" s="74"/>
      <c r="N76" s="74"/>
      <c r="O76" s="74"/>
      <c r="P76" s="74"/>
      <c r="Q76" s="74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1078"/>
      <c r="L77" s="74"/>
      <c r="M77" s="74"/>
      <c r="N77" s="74"/>
      <c r="O77" s="74"/>
      <c r="P77" s="74"/>
      <c r="Q77" s="74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1078"/>
      <c r="L78" s="74"/>
      <c r="M78" s="74"/>
      <c r="N78" s="74"/>
      <c r="O78" s="74"/>
      <c r="P78" s="74"/>
      <c r="Q78" s="74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1078"/>
      <c r="L79" s="74"/>
      <c r="M79" s="74"/>
      <c r="N79" s="74"/>
      <c r="O79" s="74"/>
      <c r="P79" s="74"/>
      <c r="Q79" s="74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1078"/>
      <c r="L80" s="74"/>
      <c r="M80" s="74"/>
      <c r="N80" s="74"/>
      <c r="O80" s="74"/>
      <c r="P80" s="74"/>
      <c r="Q80" s="74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1078"/>
      <c r="L81" s="74"/>
      <c r="M81" s="74"/>
      <c r="N81" s="74"/>
      <c r="O81" s="74"/>
      <c r="P81" s="74"/>
      <c r="Q81" s="74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1078"/>
      <c r="L82" s="74"/>
      <c r="M82" s="74"/>
      <c r="N82" s="74"/>
      <c r="O82" s="74"/>
      <c r="P82" s="74"/>
      <c r="Q82" s="74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1078"/>
      <c r="L83" s="74"/>
      <c r="M83" s="74"/>
      <c r="N83" s="74"/>
      <c r="O83" s="74"/>
      <c r="P83" s="74"/>
      <c r="Q83" s="74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1078"/>
      <c r="L84" s="74"/>
      <c r="M84" s="74"/>
      <c r="N84" s="74"/>
      <c r="O84" s="74"/>
      <c r="P84" s="74"/>
      <c r="Q84" s="74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1078"/>
      <c r="L85" s="74"/>
      <c r="M85" s="74"/>
      <c r="N85" s="74"/>
      <c r="O85" s="74"/>
      <c r="P85" s="74"/>
      <c r="Q85" s="74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1078"/>
      <c r="L86" s="74"/>
      <c r="M86" s="74"/>
      <c r="N86" s="74"/>
      <c r="O86" s="74"/>
      <c r="P86" s="74"/>
      <c r="Q86" s="74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1078"/>
      <c r="L87" s="74"/>
      <c r="M87" s="74"/>
      <c r="N87" s="74"/>
      <c r="O87" s="74"/>
      <c r="P87" s="74"/>
      <c r="Q87" s="74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1078"/>
      <c r="L88" s="74"/>
      <c r="M88" s="74"/>
      <c r="N88" s="74"/>
      <c r="O88" s="74"/>
      <c r="P88" s="74"/>
      <c r="Q88" s="74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1078"/>
      <c r="L89" s="74"/>
      <c r="M89" s="74"/>
      <c r="N89" s="74"/>
      <c r="O89" s="74"/>
      <c r="P89" s="74"/>
      <c r="Q89" s="74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1078"/>
      <c r="L90" s="74"/>
      <c r="M90" s="74"/>
      <c r="N90" s="74"/>
      <c r="O90" s="74"/>
      <c r="P90" s="74"/>
      <c r="Q90" s="74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1078"/>
      <c r="L91" s="74"/>
      <c r="M91" s="74"/>
      <c r="N91" s="74"/>
      <c r="O91" s="74"/>
      <c r="P91" s="74"/>
      <c r="Q91" s="74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1078"/>
      <c r="L92" s="74"/>
      <c r="M92" s="74"/>
      <c r="N92" s="74"/>
      <c r="O92" s="74"/>
      <c r="P92" s="74"/>
      <c r="Q92" s="74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1078"/>
      <c r="L93" s="74"/>
      <c r="M93" s="74"/>
      <c r="N93" s="74"/>
      <c r="O93" s="74"/>
      <c r="P93" s="74"/>
      <c r="Q93" s="74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1078"/>
      <c r="L94" s="74"/>
      <c r="M94" s="74"/>
      <c r="N94" s="74"/>
      <c r="O94" s="74"/>
      <c r="P94" s="74"/>
      <c r="Q94" s="74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1078"/>
      <c r="L95" s="74"/>
      <c r="M95" s="74"/>
      <c r="N95" s="74"/>
      <c r="O95" s="74"/>
      <c r="P95" s="74"/>
      <c r="Q95" s="74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1078"/>
      <c r="L96" s="74"/>
      <c r="M96" s="74"/>
      <c r="N96" s="74"/>
      <c r="O96" s="74"/>
      <c r="P96" s="74"/>
      <c r="Q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1078"/>
      <c r="L97" s="74"/>
      <c r="M97" s="74"/>
      <c r="N97" s="74"/>
      <c r="O97" s="74"/>
      <c r="P97" s="74"/>
      <c r="Q97" s="74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1078"/>
      <c r="L98" s="74"/>
      <c r="M98" s="74"/>
      <c r="N98" s="74"/>
      <c r="O98" s="74"/>
      <c r="P98" s="74"/>
      <c r="Q98" s="74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1078"/>
      <c r="L99" s="74"/>
      <c r="M99" s="74"/>
      <c r="N99" s="74"/>
      <c r="O99" s="74"/>
      <c r="P99" s="74"/>
      <c r="Q99" s="74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1078"/>
      <c r="L100" s="74"/>
      <c r="M100" s="74"/>
      <c r="N100" s="74"/>
      <c r="O100" s="74"/>
      <c r="P100" s="74"/>
      <c r="Q100" s="74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1078"/>
      <c r="L101" s="74"/>
      <c r="M101" s="74"/>
      <c r="N101" s="74"/>
      <c r="O101" s="74"/>
      <c r="P101" s="74"/>
      <c r="Q101" s="74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1078"/>
      <c r="L102" s="74"/>
      <c r="M102" s="74"/>
      <c r="N102" s="74"/>
      <c r="O102" s="74"/>
      <c r="P102" s="74"/>
      <c r="Q102" s="74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1078"/>
      <c r="L103" s="74"/>
      <c r="M103" s="74"/>
      <c r="N103" s="74"/>
      <c r="O103" s="74"/>
      <c r="P103" s="74"/>
      <c r="Q103" s="74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1078"/>
      <c r="L104" s="74"/>
      <c r="M104" s="74"/>
      <c r="N104" s="74"/>
      <c r="O104" s="74"/>
      <c r="P104" s="74"/>
      <c r="Q104" s="74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1078"/>
      <c r="L105" s="74"/>
      <c r="M105" s="74"/>
      <c r="N105" s="74"/>
      <c r="O105" s="74"/>
      <c r="P105" s="74"/>
      <c r="Q105" s="74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1078"/>
      <c r="L106" s="74"/>
      <c r="M106" s="74"/>
      <c r="N106" s="74"/>
      <c r="O106" s="74"/>
      <c r="P106" s="74"/>
      <c r="Q106" s="74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1078"/>
      <c r="L107" s="74"/>
      <c r="M107" s="74"/>
      <c r="N107" s="74"/>
      <c r="O107" s="74"/>
      <c r="P107" s="74"/>
      <c r="Q107" s="74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1078"/>
      <c r="L108" s="74"/>
      <c r="M108" s="74"/>
      <c r="N108" s="74"/>
      <c r="O108" s="74"/>
      <c r="P108" s="74"/>
      <c r="Q108" s="74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1078"/>
      <c r="L109" s="74"/>
      <c r="M109" s="74"/>
      <c r="N109" s="74"/>
      <c r="O109" s="74"/>
      <c r="P109" s="74"/>
      <c r="Q109" s="74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1078"/>
      <c r="L110" s="74"/>
      <c r="M110" s="74"/>
      <c r="N110" s="74"/>
      <c r="O110" s="74"/>
      <c r="P110" s="74"/>
      <c r="Q110" s="74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1078"/>
      <c r="L111" s="74"/>
      <c r="M111" s="74"/>
      <c r="N111" s="74"/>
      <c r="O111" s="74"/>
      <c r="P111" s="74"/>
      <c r="Q111" s="74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1078"/>
      <c r="L112" s="74"/>
      <c r="M112" s="74"/>
      <c r="N112" s="74"/>
      <c r="O112" s="74"/>
      <c r="P112" s="74"/>
      <c r="Q112" s="74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1078"/>
      <c r="L113" s="74"/>
      <c r="M113" s="74"/>
      <c r="N113" s="74"/>
      <c r="O113" s="74"/>
      <c r="P113" s="74"/>
      <c r="Q113" s="74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1078"/>
      <c r="L114" s="74"/>
      <c r="M114" s="74"/>
      <c r="N114" s="74"/>
      <c r="O114" s="74"/>
      <c r="P114" s="74"/>
      <c r="Q114" s="74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1078"/>
      <c r="L115" s="74"/>
      <c r="M115" s="74"/>
      <c r="N115" s="74"/>
      <c r="O115" s="74"/>
      <c r="P115" s="74"/>
      <c r="Q115" s="74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1078"/>
      <c r="L116" s="74"/>
      <c r="M116" s="74"/>
      <c r="N116" s="74"/>
      <c r="O116" s="74"/>
      <c r="P116" s="74"/>
      <c r="Q116" s="74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1078"/>
      <c r="L117" s="74"/>
      <c r="M117" s="74"/>
      <c r="N117" s="74"/>
      <c r="O117" s="74"/>
      <c r="P117" s="74"/>
      <c r="Q117" s="74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1078"/>
      <c r="L118" s="74"/>
      <c r="M118" s="74"/>
      <c r="N118" s="74"/>
      <c r="O118" s="74"/>
      <c r="P118" s="74"/>
      <c r="Q118" s="74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1078"/>
      <c r="L119" s="74"/>
      <c r="M119" s="74"/>
      <c r="N119" s="74"/>
      <c r="O119" s="74"/>
      <c r="P119" s="74"/>
      <c r="Q119" s="74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1078"/>
      <c r="L120" s="74"/>
      <c r="M120" s="74"/>
      <c r="N120" s="74"/>
      <c r="O120" s="74"/>
      <c r="P120" s="74"/>
      <c r="Q120" s="74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1078"/>
      <c r="L121" s="74"/>
      <c r="M121" s="74"/>
      <c r="N121" s="74"/>
      <c r="O121" s="74"/>
      <c r="P121" s="74"/>
      <c r="Q121" s="74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1078"/>
      <c r="L122" s="74"/>
      <c r="M122" s="74"/>
      <c r="N122" s="74"/>
      <c r="O122" s="74"/>
      <c r="P122" s="74"/>
      <c r="Q122" s="74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1078"/>
      <c r="L123" s="74"/>
      <c r="M123" s="74"/>
      <c r="N123" s="74"/>
      <c r="O123" s="74"/>
      <c r="P123" s="74"/>
      <c r="Q123" s="74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1078"/>
      <c r="L124" s="74"/>
      <c r="M124" s="74"/>
      <c r="N124" s="74"/>
      <c r="O124" s="74"/>
      <c r="P124" s="74"/>
      <c r="Q124" s="74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1078"/>
      <c r="L125" s="74"/>
      <c r="M125" s="74"/>
      <c r="N125" s="74"/>
      <c r="O125" s="74"/>
      <c r="P125" s="74"/>
      <c r="Q125" s="74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1078"/>
      <c r="L126" s="74"/>
      <c r="M126" s="74"/>
      <c r="N126" s="74"/>
      <c r="O126" s="74"/>
      <c r="P126" s="74"/>
      <c r="Q126" s="74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1078"/>
      <c r="L127" s="74"/>
      <c r="M127" s="74"/>
      <c r="N127" s="74"/>
      <c r="O127" s="74"/>
      <c r="P127" s="74"/>
      <c r="Q127" s="74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1078"/>
      <c r="L128" s="74"/>
      <c r="M128" s="74"/>
      <c r="N128" s="74"/>
      <c r="O128" s="74"/>
      <c r="P128" s="74"/>
      <c r="Q128" s="74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1078"/>
      <c r="L129" s="74"/>
      <c r="M129" s="74"/>
      <c r="N129" s="74"/>
      <c r="O129" s="74"/>
      <c r="P129" s="74"/>
      <c r="Q129" s="74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1078"/>
      <c r="L130" s="74"/>
      <c r="M130" s="74"/>
      <c r="N130" s="74"/>
      <c r="O130" s="74"/>
      <c r="P130" s="74"/>
      <c r="Q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1078"/>
      <c r="L131" s="74"/>
      <c r="M131" s="74"/>
      <c r="N131" s="74"/>
      <c r="O131" s="74"/>
      <c r="P131" s="74"/>
      <c r="Q131" s="74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1078"/>
      <c r="L132" s="74"/>
      <c r="M132" s="74"/>
      <c r="N132" s="74"/>
      <c r="O132" s="74"/>
      <c r="P132" s="74"/>
      <c r="Q132" s="74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1078"/>
      <c r="L133" s="74"/>
      <c r="M133" s="74"/>
      <c r="N133" s="74"/>
      <c r="O133" s="74"/>
      <c r="P133" s="74"/>
      <c r="Q133" s="74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1078"/>
      <c r="L134" s="74"/>
      <c r="M134" s="74"/>
      <c r="N134" s="74"/>
      <c r="O134" s="74"/>
      <c r="P134" s="74"/>
      <c r="Q134" s="74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1078"/>
      <c r="L135" s="74"/>
      <c r="M135" s="74"/>
      <c r="N135" s="74"/>
      <c r="O135" s="74"/>
      <c r="P135" s="74"/>
      <c r="Q135" s="74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1078"/>
      <c r="L136" s="74"/>
      <c r="M136" s="74"/>
      <c r="N136" s="74"/>
      <c r="O136" s="74"/>
      <c r="P136" s="74"/>
      <c r="Q136" s="74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1078"/>
      <c r="L137" s="74"/>
      <c r="M137" s="74"/>
      <c r="N137" s="74"/>
      <c r="O137" s="74"/>
      <c r="P137" s="74"/>
      <c r="Q137" s="74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1078"/>
      <c r="L138" s="74"/>
      <c r="M138" s="74"/>
      <c r="N138" s="74"/>
      <c r="O138" s="74"/>
      <c r="P138" s="74"/>
      <c r="Q138" s="74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1078"/>
      <c r="L139" s="74"/>
      <c r="M139" s="74"/>
      <c r="N139" s="74"/>
      <c r="O139" s="74"/>
      <c r="P139" s="74"/>
      <c r="Q139" s="74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1078"/>
      <c r="L140" s="74"/>
      <c r="M140" s="74"/>
      <c r="N140" s="74"/>
      <c r="O140" s="74"/>
      <c r="P140" s="74"/>
      <c r="Q140" s="74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1078"/>
      <c r="L141" s="74"/>
      <c r="M141" s="74"/>
      <c r="N141" s="74"/>
      <c r="O141" s="74"/>
      <c r="P141" s="74"/>
      <c r="Q141" s="74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1078"/>
      <c r="L142" s="74"/>
      <c r="M142" s="74"/>
      <c r="N142" s="74"/>
      <c r="O142" s="74"/>
      <c r="P142" s="74"/>
      <c r="Q142" s="74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1078"/>
      <c r="L143" s="74"/>
      <c r="M143" s="74"/>
      <c r="N143" s="74"/>
      <c r="O143" s="74"/>
      <c r="P143" s="74"/>
      <c r="Q143" s="74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1078"/>
      <c r="L144" s="74"/>
      <c r="M144" s="74"/>
      <c r="N144" s="74"/>
      <c r="O144" s="74"/>
      <c r="P144" s="74"/>
      <c r="Q144" s="74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1078"/>
      <c r="L145" s="74"/>
      <c r="M145" s="74"/>
      <c r="N145" s="74"/>
      <c r="O145" s="74"/>
      <c r="P145" s="74"/>
      <c r="Q145" s="74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1078"/>
      <c r="L146" s="74"/>
      <c r="M146" s="74"/>
      <c r="N146" s="74"/>
      <c r="O146" s="74"/>
      <c r="P146" s="74"/>
      <c r="Q146" s="74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1078"/>
      <c r="L147" s="74"/>
      <c r="M147" s="74"/>
      <c r="N147" s="74"/>
      <c r="O147" s="74"/>
      <c r="P147" s="74"/>
      <c r="Q147" s="74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1078"/>
      <c r="L148" s="74"/>
      <c r="M148" s="74"/>
      <c r="N148" s="74"/>
      <c r="O148" s="74"/>
      <c r="P148" s="74"/>
      <c r="Q148" s="74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1078"/>
      <c r="L149" s="74"/>
      <c r="M149" s="74"/>
      <c r="N149" s="74"/>
      <c r="O149" s="74"/>
      <c r="P149" s="74"/>
      <c r="Q149" s="74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1078"/>
      <c r="L150" s="74"/>
      <c r="M150" s="74"/>
      <c r="N150" s="74"/>
      <c r="O150" s="74"/>
      <c r="P150" s="74"/>
      <c r="Q150" s="74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1078"/>
      <c r="L151" s="74"/>
      <c r="M151" s="74"/>
      <c r="N151" s="74"/>
      <c r="O151" s="74"/>
      <c r="P151" s="74"/>
      <c r="Q151" s="74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1078"/>
      <c r="L152" s="74"/>
      <c r="M152" s="74"/>
      <c r="N152" s="74"/>
      <c r="O152" s="74"/>
      <c r="P152" s="74"/>
      <c r="Q152" s="74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1078"/>
      <c r="L153" s="74"/>
      <c r="M153" s="74"/>
      <c r="N153" s="74"/>
      <c r="O153" s="74"/>
      <c r="P153" s="74"/>
      <c r="Q153" s="74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1078"/>
      <c r="L154" s="74"/>
      <c r="M154" s="74"/>
      <c r="N154" s="74"/>
      <c r="O154" s="74"/>
      <c r="P154" s="74"/>
      <c r="Q154" s="74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1078"/>
      <c r="L155" s="74"/>
      <c r="M155" s="74"/>
      <c r="N155" s="74"/>
      <c r="O155" s="74"/>
      <c r="P155" s="74"/>
      <c r="Q155" s="74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1078"/>
      <c r="L156" s="74"/>
      <c r="M156" s="74"/>
      <c r="N156" s="74"/>
      <c r="O156" s="74"/>
      <c r="P156" s="74"/>
      <c r="Q156" s="74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1078"/>
      <c r="L157" s="74"/>
      <c r="M157" s="74"/>
      <c r="N157" s="74"/>
      <c r="O157" s="74"/>
      <c r="P157" s="74"/>
      <c r="Q157" s="74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1078"/>
      <c r="L158" s="74"/>
      <c r="M158" s="74"/>
      <c r="N158" s="74"/>
      <c r="O158" s="74"/>
      <c r="P158" s="74"/>
      <c r="Q158" s="74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1078"/>
      <c r="L159" s="74"/>
      <c r="M159" s="74"/>
      <c r="N159" s="74"/>
      <c r="O159" s="74"/>
      <c r="P159" s="74"/>
      <c r="Q159" s="74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1078"/>
      <c r="L160" s="74"/>
      <c r="M160" s="74"/>
      <c r="N160" s="74"/>
      <c r="O160" s="74"/>
      <c r="P160" s="74"/>
      <c r="Q160" s="74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1078"/>
      <c r="L161" s="74"/>
      <c r="M161" s="74"/>
      <c r="N161" s="74"/>
      <c r="O161" s="74"/>
      <c r="P161" s="74"/>
      <c r="Q161" s="74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1078"/>
      <c r="L162" s="74"/>
      <c r="M162" s="74"/>
      <c r="N162" s="74"/>
      <c r="O162" s="74"/>
      <c r="P162" s="74"/>
      <c r="Q162" s="74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1078"/>
      <c r="L163" s="74"/>
      <c r="M163" s="74"/>
      <c r="N163" s="74"/>
      <c r="O163" s="74"/>
      <c r="P163" s="74"/>
      <c r="Q163" s="74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1078"/>
      <c r="L164" s="74"/>
      <c r="M164" s="74"/>
      <c r="N164" s="74"/>
      <c r="O164" s="74"/>
      <c r="P164" s="74"/>
      <c r="Q164" s="74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1078"/>
      <c r="L165" s="74"/>
      <c r="M165" s="74"/>
      <c r="N165" s="74"/>
      <c r="O165" s="74"/>
      <c r="P165" s="74"/>
      <c r="Q165" s="74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1078"/>
      <c r="L166" s="74"/>
      <c r="M166" s="74"/>
      <c r="N166" s="74"/>
      <c r="O166" s="74"/>
      <c r="P166" s="74"/>
      <c r="Q166" s="74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1078"/>
      <c r="L167" s="74"/>
      <c r="M167" s="74"/>
      <c r="N167" s="74"/>
      <c r="O167" s="74"/>
      <c r="P167" s="74"/>
      <c r="Q167" s="74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1078"/>
      <c r="L168" s="74"/>
      <c r="M168" s="74"/>
      <c r="N168" s="74"/>
      <c r="O168" s="74"/>
      <c r="P168" s="74"/>
      <c r="Q168" s="74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1078"/>
      <c r="L169" s="74"/>
      <c r="M169" s="74"/>
      <c r="N169" s="74"/>
      <c r="O169" s="74"/>
      <c r="P169" s="74"/>
      <c r="Q169" s="74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1078"/>
      <c r="L170" s="74"/>
      <c r="M170" s="74"/>
      <c r="N170" s="74"/>
      <c r="O170" s="74"/>
      <c r="P170" s="74"/>
      <c r="Q170" s="74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1078"/>
      <c r="L171" s="74"/>
      <c r="M171" s="74"/>
      <c r="N171" s="74"/>
      <c r="O171" s="74"/>
      <c r="P171" s="74"/>
      <c r="Q171" s="74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1078"/>
      <c r="L172" s="74"/>
      <c r="M172" s="74"/>
      <c r="N172" s="74"/>
      <c r="O172" s="74"/>
      <c r="P172" s="74"/>
      <c r="Q172" s="74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1078"/>
      <c r="L173" s="74"/>
      <c r="M173" s="74"/>
      <c r="N173" s="74"/>
      <c r="O173" s="74"/>
      <c r="P173" s="74"/>
      <c r="Q173" s="74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1078"/>
      <c r="L174" s="74"/>
      <c r="M174" s="74"/>
      <c r="N174" s="74"/>
      <c r="O174" s="74"/>
      <c r="P174" s="74"/>
      <c r="Q174" s="74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1078"/>
      <c r="L175" s="74"/>
      <c r="M175" s="74"/>
      <c r="N175" s="74"/>
      <c r="O175" s="74"/>
      <c r="P175" s="74"/>
      <c r="Q175" s="74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1078"/>
      <c r="L176" s="74"/>
      <c r="M176" s="74"/>
      <c r="N176" s="74"/>
      <c r="O176" s="74"/>
      <c r="P176" s="74"/>
      <c r="Q176" s="74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1078"/>
      <c r="L177" s="74"/>
      <c r="M177" s="74"/>
      <c r="N177" s="74"/>
      <c r="O177" s="74"/>
      <c r="P177" s="74"/>
      <c r="Q177" s="74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1078"/>
      <c r="L178" s="74"/>
      <c r="M178" s="74"/>
      <c r="N178" s="74"/>
      <c r="O178" s="74"/>
      <c r="P178" s="74"/>
      <c r="Q178" s="74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1078"/>
      <c r="L179" s="74"/>
      <c r="M179" s="74"/>
      <c r="N179" s="74"/>
      <c r="O179" s="74"/>
      <c r="P179" s="74"/>
      <c r="Q179" s="74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1078"/>
      <c r="L180" s="74"/>
      <c r="M180" s="74"/>
      <c r="N180" s="74"/>
      <c r="O180" s="74"/>
      <c r="P180" s="74"/>
      <c r="Q180" s="74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1078"/>
      <c r="L181" s="74"/>
      <c r="M181" s="74"/>
      <c r="N181" s="74"/>
      <c r="O181" s="74"/>
      <c r="P181" s="74"/>
      <c r="Q181" s="74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1078"/>
      <c r="L182" s="74"/>
      <c r="M182" s="74"/>
      <c r="N182" s="74"/>
      <c r="O182" s="74"/>
      <c r="P182" s="74"/>
      <c r="Q182" s="74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1078"/>
      <c r="L183" s="74"/>
      <c r="M183" s="74"/>
      <c r="N183" s="74"/>
      <c r="O183" s="74"/>
      <c r="P183" s="74"/>
      <c r="Q183" s="74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1078"/>
      <c r="L184" s="74"/>
      <c r="M184" s="74"/>
      <c r="N184" s="74"/>
      <c r="O184" s="74"/>
      <c r="P184" s="74"/>
      <c r="Q184" s="74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1078"/>
      <c r="L185" s="74"/>
      <c r="M185" s="74"/>
      <c r="N185" s="74"/>
      <c r="O185" s="74"/>
      <c r="P185" s="74"/>
      <c r="Q185" s="74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1078"/>
      <c r="L186" s="74"/>
      <c r="M186" s="74"/>
      <c r="N186" s="74"/>
      <c r="O186" s="74"/>
      <c r="P186" s="74"/>
      <c r="Q186" s="74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1078"/>
      <c r="L187" s="74"/>
      <c r="M187" s="74"/>
      <c r="N187" s="74"/>
      <c r="O187" s="74"/>
      <c r="P187" s="74"/>
      <c r="Q187" s="74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1078"/>
      <c r="L188" s="74"/>
      <c r="M188" s="74"/>
      <c r="N188" s="74"/>
      <c r="O188" s="74"/>
      <c r="P188" s="74"/>
      <c r="Q188" s="74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1078"/>
      <c r="L189" s="74"/>
      <c r="M189" s="74"/>
      <c r="N189" s="74"/>
      <c r="O189" s="74"/>
      <c r="P189" s="74"/>
      <c r="Q189" s="74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1078"/>
      <c r="L190" s="74"/>
      <c r="M190" s="74"/>
      <c r="N190" s="74"/>
      <c r="O190" s="74"/>
      <c r="P190" s="74"/>
      <c r="Q190" s="74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1078"/>
      <c r="L191" s="74"/>
      <c r="M191" s="74"/>
      <c r="N191" s="74"/>
      <c r="O191" s="74"/>
      <c r="P191" s="74"/>
      <c r="Q191" s="74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1078"/>
      <c r="L192" s="74"/>
      <c r="M192" s="74"/>
      <c r="N192" s="74"/>
      <c r="O192" s="74"/>
      <c r="P192" s="74"/>
      <c r="Q192" s="74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1078"/>
      <c r="L193" s="74"/>
      <c r="M193" s="74"/>
      <c r="N193" s="74"/>
      <c r="O193" s="74"/>
      <c r="P193" s="74"/>
      <c r="Q193" s="74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1078"/>
      <c r="L194" s="74"/>
      <c r="M194" s="74"/>
      <c r="N194" s="74"/>
      <c r="O194" s="74"/>
      <c r="P194" s="74"/>
      <c r="Q194" s="74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1078"/>
      <c r="L195" s="74"/>
      <c r="M195" s="74"/>
      <c r="N195" s="74"/>
      <c r="O195" s="74"/>
      <c r="P195" s="74"/>
      <c r="Q195" s="74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1078"/>
      <c r="L196" s="74"/>
      <c r="M196" s="74"/>
      <c r="N196" s="74"/>
      <c r="O196" s="74"/>
      <c r="P196" s="74"/>
      <c r="Q196" s="74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1078"/>
      <c r="L197" s="74"/>
      <c r="M197" s="74"/>
      <c r="N197" s="74"/>
      <c r="O197" s="74"/>
      <c r="P197" s="74"/>
      <c r="Q197" s="74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1078"/>
      <c r="L198" s="74"/>
      <c r="M198" s="74"/>
      <c r="N198" s="74"/>
      <c r="O198" s="74"/>
      <c r="P198" s="74"/>
      <c r="Q198" s="74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1078"/>
      <c r="L199" s="74"/>
      <c r="M199" s="74"/>
      <c r="N199" s="74"/>
      <c r="O199" s="74"/>
      <c r="P199" s="74"/>
      <c r="Q199" s="74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1078"/>
      <c r="L200" s="74"/>
      <c r="M200" s="74"/>
      <c r="N200" s="74"/>
      <c r="O200" s="74"/>
      <c r="P200" s="74"/>
      <c r="Q200" s="74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1078"/>
      <c r="L201" s="74"/>
      <c r="M201" s="74"/>
      <c r="N201" s="74"/>
      <c r="O201" s="74"/>
      <c r="P201" s="74"/>
      <c r="Q201" s="74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1078"/>
      <c r="L202" s="74"/>
      <c r="M202" s="74"/>
      <c r="N202" s="74"/>
      <c r="O202" s="74"/>
      <c r="P202" s="74"/>
      <c r="Q202" s="74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1078"/>
      <c r="L203" s="74"/>
      <c r="M203" s="74"/>
      <c r="N203" s="74"/>
      <c r="O203" s="74"/>
      <c r="P203" s="74"/>
      <c r="Q203" s="74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1078"/>
      <c r="L204" s="74"/>
      <c r="M204" s="74"/>
      <c r="N204" s="74"/>
      <c r="O204" s="74"/>
      <c r="P204" s="74"/>
      <c r="Q204" s="74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1078"/>
      <c r="L205" s="74"/>
      <c r="M205" s="74"/>
      <c r="N205" s="74"/>
      <c r="O205" s="74"/>
      <c r="P205" s="74"/>
      <c r="Q205" s="74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1078"/>
      <c r="L206" s="74"/>
      <c r="M206" s="74"/>
      <c r="N206" s="74"/>
      <c r="O206" s="74"/>
      <c r="P206" s="74"/>
      <c r="Q206" s="74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1078"/>
      <c r="L207" s="74"/>
      <c r="M207" s="74"/>
      <c r="N207" s="74"/>
      <c r="O207" s="74"/>
      <c r="P207" s="74"/>
      <c r="Q207" s="74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1078"/>
      <c r="L208" s="74"/>
      <c r="M208" s="74"/>
      <c r="N208" s="74"/>
      <c r="O208" s="74"/>
      <c r="P208" s="74"/>
      <c r="Q208" s="74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1078"/>
      <c r="L209" s="74"/>
      <c r="M209" s="74"/>
      <c r="N209" s="74"/>
      <c r="O209" s="74"/>
      <c r="P209" s="74"/>
      <c r="Q209" s="74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1078"/>
      <c r="L210" s="74"/>
      <c r="M210" s="74"/>
      <c r="N210" s="74"/>
      <c r="O210" s="74"/>
      <c r="P210" s="74"/>
      <c r="Q210" s="74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1078"/>
      <c r="L211" s="74"/>
      <c r="M211" s="74"/>
      <c r="N211" s="74"/>
      <c r="O211" s="74"/>
      <c r="P211" s="74"/>
      <c r="Q211" s="74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1078"/>
      <c r="L212" s="74"/>
      <c r="M212" s="74"/>
      <c r="N212" s="74"/>
      <c r="O212" s="74"/>
      <c r="P212" s="74"/>
      <c r="Q212" s="74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1078"/>
      <c r="L213" s="74"/>
      <c r="M213" s="74"/>
      <c r="N213" s="74"/>
      <c r="O213" s="74"/>
      <c r="P213" s="74"/>
      <c r="Q213" s="74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1078"/>
      <c r="L214" s="74"/>
      <c r="M214" s="74"/>
      <c r="N214" s="74"/>
      <c r="O214" s="74"/>
      <c r="P214" s="74"/>
      <c r="Q214" s="74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1078"/>
      <c r="L215" s="74"/>
      <c r="M215" s="74"/>
      <c r="N215" s="74"/>
      <c r="O215" s="74"/>
      <c r="P215" s="74"/>
      <c r="Q215" s="74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1078"/>
      <c r="L216" s="74"/>
      <c r="M216" s="74"/>
      <c r="N216" s="74"/>
      <c r="O216" s="74"/>
      <c r="P216" s="74"/>
      <c r="Q216" s="74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1078"/>
      <c r="L217" s="74"/>
      <c r="M217" s="74"/>
      <c r="N217" s="74"/>
      <c r="O217" s="74"/>
      <c r="P217" s="74"/>
      <c r="Q217" s="74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1078"/>
      <c r="L218" s="74"/>
      <c r="M218" s="74"/>
      <c r="N218" s="74"/>
      <c r="O218" s="74"/>
      <c r="P218" s="74"/>
      <c r="Q218" s="74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1078"/>
      <c r="L219" s="74"/>
      <c r="M219" s="74"/>
      <c r="N219" s="74"/>
      <c r="O219" s="74"/>
      <c r="P219" s="74"/>
      <c r="Q219" s="74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1078"/>
      <c r="L220" s="74"/>
      <c r="M220" s="74"/>
      <c r="N220" s="74"/>
      <c r="O220" s="74"/>
      <c r="P220" s="74"/>
      <c r="Q220" s="74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1078"/>
      <c r="L221" s="74"/>
      <c r="M221" s="74"/>
      <c r="N221" s="74"/>
      <c r="O221" s="74"/>
      <c r="P221" s="74"/>
      <c r="Q221" s="74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1078"/>
      <c r="L222" s="74"/>
      <c r="M222" s="74"/>
      <c r="N222" s="74"/>
      <c r="O222" s="74"/>
      <c r="P222" s="74"/>
      <c r="Q222" s="74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1078"/>
      <c r="L223" s="74"/>
      <c r="M223" s="74"/>
      <c r="N223" s="74"/>
      <c r="O223" s="74"/>
      <c r="P223" s="74"/>
      <c r="Q223" s="74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1078"/>
      <c r="L224" s="74"/>
      <c r="M224" s="74"/>
      <c r="N224" s="74"/>
      <c r="O224" s="74"/>
      <c r="P224" s="74"/>
      <c r="Q224" s="74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1078"/>
      <c r="L225" s="74"/>
      <c r="M225" s="74"/>
      <c r="N225" s="74"/>
      <c r="O225" s="74"/>
      <c r="P225" s="74"/>
      <c r="Q225" s="74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1078"/>
      <c r="L226" s="74"/>
      <c r="M226" s="74"/>
      <c r="N226" s="74"/>
      <c r="O226" s="74"/>
      <c r="P226" s="74"/>
      <c r="Q226" s="74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1078"/>
      <c r="L227" s="74"/>
      <c r="M227" s="74"/>
      <c r="N227" s="74"/>
      <c r="O227" s="74"/>
      <c r="P227" s="74"/>
      <c r="Q227" s="74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1078"/>
      <c r="L228" s="74"/>
      <c r="M228" s="74"/>
      <c r="N228" s="74"/>
      <c r="O228" s="74"/>
      <c r="P228" s="74"/>
      <c r="Q228" s="74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1078"/>
      <c r="L229" s="74"/>
      <c r="M229" s="74"/>
      <c r="N229" s="74"/>
      <c r="O229" s="74"/>
      <c r="P229" s="74"/>
      <c r="Q229" s="74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1078"/>
      <c r="L230" s="74"/>
      <c r="M230" s="74"/>
      <c r="N230" s="74"/>
      <c r="O230" s="74"/>
      <c r="P230" s="74"/>
      <c r="Q230" s="74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1078"/>
      <c r="L231" s="74"/>
      <c r="M231" s="74"/>
      <c r="N231" s="74"/>
      <c r="O231" s="74"/>
      <c r="P231" s="74"/>
      <c r="Q231" s="74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1078"/>
      <c r="L232" s="74"/>
      <c r="M232" s="74"/>
      <c r="N232" s="74"/>
      <c r="O232" s="74"/>
      <c r="P232" s="74"/>
      <c r="Q232" s="74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1078"/>
      <c r="L233" s="74"/>
      <c r="M233" s="74"/>
      <c r="N233" s="74"/>
      <c r="O233" s="74"/>
      <c r="P233" s="74"/>
      <c r="Q233" s="74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1078"/>
      <c r="L234" s="74"/>
      <c r="M234" s="74"/>
      <c r="N234" s="74"/>
      <c r="O234" s="74"/>
      <c r="P234" s="74"/>
      <c r="Q234" s="74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1078"/>
      <c r="L235" s="74"/>
      <c r="M235" s="74"/>
      <c r="N235" s="74"/>
      <c r="O235" s="74"/>
      <c r="P235" s="74"/>
      <c r="Q235" s="74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1078"/>
      <c r="L236" s="74"/>
      <c r="M236" s="74"/>
      <c r="N236" s="74"/>
      <c r="O236" s="74"/>
      <c r="P236" s="74"/>
      <c r="Q236" s="74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1078"/>
      <c r="L237" s="74"/>
      <c r="M237" s="74"/>
      <c r="N237" s="74"/>
      <c r="O237" s="74"/>
      <c r="P237" s="74"/>
      <c r="Q237" s="74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1078"/>
      <c r="L238" s="74"/>
      <c r="M238" s="74"/>
      <c r="N238" s="74"/>
      <c r="O238" s="74"/>
      <c r="P238" s="74"/>
      <c r="Q238" s="74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1078"/>
      <c r="L239" s="74"/>
      <c r="M239" s="74"/>
      <c r="N239" s="74"/>
      <c r="O239" s="74"/>
      <c r="P239" s="74"/>
      <c r="Q239" s="74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1078"/>
      <c r="L240" s="74"/>
      <c r="M240" s="74"/>
      <c r="N240" s="74"/>
      <c r="O240" s="74"/>
      <c r="P240" s="74"/>
      <c r="Q240" s="74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1078"/>
      <c r="L241" s="74"/>
      <c r="M241" s="74"/>
      <c r="N241" s="74"/>
      <c r="O241" s="74"/>
      <c r="P241" s="74"/>
      <c r="Q241" s="74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1078"/>
      <c r="L242" s="74"/>
      <c r="M242" s="74"/>
      <c r="N242" s="74"/>
      <c r="O242" s="74"/>
      <c r="P242" s="74"/>
      <c r="Q242" s="74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1078"/>
      <c r="L243" s="74"/>
      <c r="M243" s="74"/>
      <c r="N243" s="74"/>
      <c r="O243" s="74"/>
      <c r="P243" s="74"/>
      <c r="Q243" s="74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1078"/>
      <c r="L244" s="74"/>
      <c r="M244" s="74"/>
      <c r="N244" s="74"/>
      <c r="O244" s="74"/>
      <c r="P244" s="74"/>
      <c r="Q244" s="74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1078"/>
      <c r="L245" s="74"/>
      <c r="M245" s="74"/>
      <c r="N245" s="74"/>
      <c r="O245" s="74"/>
      <c r="P245" s="74"/>
      <c r="Q245" s="74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1078"/>
      <c r="L246" s="74"/>
      <c r="M246" s="74"/>
      <c r="N246" s="74"/>
      <c r="O246" s="74"/>
      <c r="P246" s="74"/>
      <c r="Q246" s="74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1078"/>
      <c r="L247" s="74"/>
      <c r="M247" s="74"/>
      <c r="N247" s="74"/>
      <c r="O247" s="74"/>
      <c r="P247" s="74"/>
      <c r="Q247" s="74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1078"/>
      <c r="L248" s="74"/>
      <c r="M248" s="74"/>
      <c r="N248" s="74"/>
      <c r="O248" s="74"/>
      <c r="P248" s="74"/>
      <c r="Q248" s="74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1078"/>
      <c r="L249" s="74"/>
      <c r="M249" s="74"/>
      <c r="N249" s="74"/>
      <c r="O249" s="74"/>
      <c r="P249" s="74"/>
      <c r="Q249" s="74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1078"/>
      <c r="L250" s="74"/>
      <c r="M250" s="74"/>
      <c r="N250" s="74"/>
      <c r="O250" s="74"/>
      <c r="P250" s="74"/>
      <c r="Q250" s="74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1078"/>
      <c r="L251" s="74"/>
      <c r="M251" s="74"/>
      <c r="N251" s="74"/>
      <c r="O251" s="74"/>
      <c r="P251" s="74"/>
      <c r="Q251" s="74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1078"/>
      <c r="L252" s="74"/>
      <c r="M252" s="74"/>
      <c r="N252" s="74"/>
      <c r="O252" s="74"/>
      <c r="P252" s="74"/>
      <c r="Q252" s="74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1078"/>
      <c r="L253" s="74"/>
      <c r="M253" s="74"/>
      <c r="N253" s="74"/>
      <c r="O253" s="74"/>
      <c r="P253" s="74"/>
      <c r="Q253" s="74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1078"/>
      <c r="L254" s="74"/>
      <c r="M254" s="74"/>
      <c r="N254" s="74"/>
      <c r="O254" s="74"/>
      <c r="P254" s="74"/>
      <c r="Q254" s="74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1078"/>
      <c r="L255" s="74"/>
      <c r="M255" s="74"/>
      <c r="N255" s="74"/>
      <c r="O255" s="74"/>
      <c r="P255" s="74"/>
      <c r="Q255" s="74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1078"/>
      <c r="L256" s="74"/>
      <c r="M256" s="74"/>
      <c r="N256" s="74"/>
      <c r="O256" s="74"/>
      <c r="P256" s="74"/>
      <c r="Q256" s="74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1078"/>
      <c r="L257" s="74"/>
      <c r="M257" s="74"/>
      <c r="N257" s="74"/>
      <c r="O257" s="74"/>
      <c r="P257" s="74"/>
      <c r="Q257" s="74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1078"/>
      <c r="L258" s="74"/>
      <c r="M258" s="74"/>
      <c r="N258" s="74"/>
      <c r="O258" s="74"/>
      <c r="P258" s="74"/>
      <c r="Q258" s="74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1078"/>
      <c r="L259" s="74"/>
      <c r="M259" s="74"/>
      <c r="N259" s="74"/>
      <c r="O259" s="74"/>
      <c r="P259" s="74"/>
      <c r="Q259" s="74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1078"/>
      <c r="L260" s="74"/>
      <c r="M260" s="74"/>
      <c r="N260" s="74"/>
      <c r="O260" s="74"/>
      <c r="P260" s="74"/>
      <c r="Q260" s="74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1078"/>
      <c r="L261" s="74"/>
      <c r="M261" s="74"/>
      <c r="N261" s="74"/>
      <c r="O261" s="74"/>
      <c r="P261" s="74"/>
      <c r="Q261" s="74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1078"/>
      <c r="L262" s="74"/>
      <c r="M262" s="74"/>
      <c r="N262" s="74"/>
      <c r="O262" s="74"/>
      <c r="P262" s="74"/>
      <c r="Q262" s="74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1078"/>
      <c r="L263" s="74"/>
      <c r="M263" s="74"/>
      <c r="N263" s="74"/>
      <c r="O263" s="74"/>
      <c r="P263" s="74"/>
      <c r="Q263" s="74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1078"/>
      <c r="L264" s="74"/>
      <c r="M264" s="74"/>
      <c r="N264" s="74"/>
      <c r="O264" s="74"/>
      <c r="P264" s="74"/>
      <c r="Q264" s="74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1078"/>
      <c r="L265" s="74"/>
      <c r="M265" s="74"/>
      <c r="N265" s="74"/>
      <c r="O265" s="74"/>
      <c r="P265" s="74"/>
      <c r="Q265" s="74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1078"/>
      <c r="L266" s="74"/>
      <c r="M266" s="74"/>
      <c r="N266" s="74"/>
      <c r="O266" s="74"/>
      <c r="P266" s="74"/>
      <c r="Q266" s="74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1078"/>
      <c r="L267" s="74"/>
      <c r="M267" s="74"/>
      <c r="N267" s="74"/>
      <c r="O267" s="74"/>
      <c r="P267" s="74"/>
      <c r="Q267" s="74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1078"/>
      <c r="L268" s="74"/>
      <c r="M268" s="74"/>
      <c r="N268" s="74"/>
      <c r="O268" s="74"/>
      <c r="P268" s="74"/>
      <c r="Q268" s="74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1078"/>
      <c r="L269" s="74"/>
      <c r="M269" s="74"/>
      <c r="N269" s="74"/>
      <c r="O269" s="74"/>
      <c r="P269" s="74"/>
      <c r="Q269" s="74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1078"/>
      <c r="L270" s="74"/>
      <c r="M270" s="74"/>
      <c r="N270" s="74"/>
      <c r="O270" s="74"/>
      <c r="P270" s="74"/>
      <c r="Q270" s="74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1078"/>
      <c r="L271" s="74"/>
      <c r="M271" s="74"/>
      <c r="N271" s="74"/>
      <c r="O271" s="74"/>
      <c r="P271" s="74"/>
      <c r="Q271" s="74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1078"/>
      <c r="L272" s="74"/>
      <c r="M272" s="74"/>
      <c r="N272" s="74"/>
      <c r="O272" s="74"/>
      <c r="P272" s="74"/>
      <c r="Q272" s="74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1078"/>
      <c r="L273" s="74"/>
      <c r="M273" s="74"/>
      <c r="N273" s="74"/>
      <c r="O273" s="74"/>
      <c r="P273" s="74"/>
      <c r="Q273" s="7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1078"/>
      <c r="L274" s="74"/>
      <c r="M274" s="74"/>
      <c r="N274" s="74"/>
      <c r="O274" s="74"/>
      <c r="P274" s="74"/>
      <c r="Q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1078"/>
      <c r="L275" s="74"/>
      <c r="M275" s="74"/>
      <c r="N275" s="74"/>
      <c r="O275" s="74"/>
      <c r="P275" s="74"/>
      <c r="Q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1078"/>
      <c r="L276" s="74"/>
      <c r="M276" s="74"/>
      <c r="N276" s="74"/>
      <c r="O276" s="74"/>
      <c r="P276" s="74"/>
      <c r="Q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1078"/>
      <c r="L277" s="74"/>
      <c r="M277" s="74"/>
      <c r="N277" s="74"/>
      <c r="O277" s="74"/>
      <c r="P277" s="74"/>
      <c r="Q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1078"/>
      <c r="L278" s="74"/>
      <c r="M278" s="74"/>
      <c r="N278" s="74"/>
      <c r="O278" s="74"/>
      <c r="P278" s="74"/>
      <c r="Q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1078"/>
      <c r="L279" s="74"/>
      <c r="M279" s="74"/>
      <c r="N279" s="74"/>
      <c r="O279" s="74"/>
      <c r="P279" s="74"/>
      <c r="Q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1078"/>
      <c r="L280" s="74"/>
      <c r="M280" s="74"/>
      <c r="N280" s="74"/>
      <c r="O280" s="74"/>
      <c r="P280" s="74"/>
      <c r="Q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1078"/>
      <c r="L281" s="74"/>
      <c r="M281" s="74"/>
      <c r="N281" s="74"/>
      <c r="O281" s="74"/>
      <c r="P281" s="74"/>
      <c r="Q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1078"/>
      <c r="L282" s="74"/>
      <c r="M282" s="74"/>
      <c r="N282" s="74"/>
      <c r="O282" s="74"/>
      <c r="P282" s="74"/>
      <c r="Q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1078"/>
      <c r="L283" s="74"/>
      <c r="M283" s="74"/>
      <c r="N283" s="74"/>
      <c r="O283" s="74"/>
      <c r="P283" s="74"/>
      <c r="Q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1078"/>
      <c r="L284" s="74"/>
      <c r="M284" s="74"/>
      <c r="N284" s="74"/>
      <c r="O284" s="74"/>
      <c r="P284" s="74"/>
      <c r="Q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1078"/>
      <c r="L285" s="74"/>
      <c r="M285" s="74"/>
      <c r="N285" s="74"/>
      <c r="O285" s="74"/>
      <c r="P285" s="74"/>
      <c r="Q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1078"/>
      <c r="L286" s="74"/>
      <c r="M286" s="74"/>
      <c r="N286" s="74"/>
      <c r="O286" s="74"/>
      <c r="P286" s="74"/>
      <c r="Q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1078"/>
      <c r="L287" s="74"/>
      <c r="M287" s="74"/>
      <c r="N287" s="74"/>
      <c r="O287" s="74"/>
      <c r="P287" s="74"/>
      <c r="Q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1078"/>
      <c r="L288" s="74"/>
      <c r="M288" s="74"/>
      <c r="N288" s="74"/>
      <c r="O288" s="74"/>
      <c r="P288" s="74"/>
      <c r="Q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1078"/>
      <c r="L289" s="74"/>
      <c r="M289" s="74"/>
      <c r="N289" s="74"/>
      <c r="O289" s="74"/>
      <c r="P289" s="74"/>
      <c r="Q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1078"/>
      <c r="L290" s="74"/>
      <c r="M290" s="74"/>
      <c r="N290" s="74"/>
      <c r="O290" s="74"/>
      <c r="P290" s="74"/>
      <c r="Q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1078"/>
      <c r="L291" s="74"/>
      <c r="M291" s="74"/>
      <c r="N291" s="74"/>
      <c r="O291" s="74"/>
      <c r="P291" s="74"/>
      <c r="Q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1078"/>
      <c r="L292" s="74"/>
      <c r="M292" s="74"/>
      <c r="N292" s="74"/>
      <c r="O292" s="74"/>
      <c r="P292" s="74"/>
      <c r="Q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1078"/>
      <c r="L293" s="74"/>
      <c r="M293" s="74"/>
      <c r="N293" s="74"/>
      <c r="O293" s="74"/>
      <c r="P293" s="74"/>
      <c r="Q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1078"/>
      <c r="L294" s="74"/>
      <c r="M294" s="74"/>
      <c r="N294" s="74"/>
      <c r="O294" s="74"/>
      <c r="P294" s="74"/>
      <c r="Q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1078"/>
      <c r="L295" s="74"/>
      <c r="M295" s="74"/>
      <c r="N295" s="74"/>
      <c r="O295" s="74"/>
      <c r="P295" s="74"/>
      <c r="Q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1078"/>
      <c r="L296" s="74"/>
      <c r="M296" s="74"/>
      <c r="N296" s="74"/>
      <c r="O296" s="74"/>
      <c r="P296" s="74"/>
      <c r="Q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1078"/>
      <c r="L297" s="74"/>
      <c r="M297" s="74"/>
      <c r="N297" s="74"/>
      <c r="O297" s="74"/>
      <c r="P297" s="74"/>
      <c r="Q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1078"/>
      <c r="L298" s="74"/>
      <c r="M298" s="74"/>
      <c r="N298" s="74"/>
      <c r="O298" s="74"/>
      <c r="P298" s="74"/>
      <c r="Q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1078"/>
      <c r="L299" s="74"/>
      <c r="M299" s="74"/>
      <c r="N299" s="74"/>
      <c r="O299" s="74"/>
      <c r="P299" s="74"/>
      <c r="Q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1078"/>
      <c r="L300" s="74"/>
      <c r="M300" s="74"/>
      <c r="N300" s="74"/>
      <c r="O300" s="74"/>
      <c r="P300" s="74"/>
      <c r="Q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1078"/>
      <c r="L301" s="74"/>
      <c r="M301" s="74"/>
      <c r="N301" s="74"/>
      <c r="O301" s="74"/>
      <c r="P301" s="74"/>
      <c r="Q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1078"/>
      <c r="L302" s="74"/>
      <c r="M302" s="74"/>
      <c r="N302" s="74"/>
      <c r="O302" s="74"/>
      <c r="P302" s="74"/>
      <c r="Q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1078"/>
      <c r="L303" s="74"/>
      <c r="M303" s="74"/>
      <c r="N303" s="74"/>
      <c r="O303" s="74"/>
      <c r="P303" s="74"/>
      <c r="Q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1078"/>
      <c r="L304" s="74"/>
      <c r="M304" s="74"/>
      <c r="N304" s="74"/>
      <c r="O304" s="74"/>
      <c r="P304" s="74"/>
      <c r="Q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1078"/>
      <c r="L305" s="74"/>
      <c r="M305" s="74"/>
      <c r="N305" s="74"/>
      <c r="O305" s="74"/>
      <c r="P305" s="74"/>
      <c r="Q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1078"/>
      <c r="L306" s="74"/>
      <c r="M306" s="74"/>
      <c r="N306" s="74"/>
      <c r="O306" s="74"/>
      <c r="P306" s="74"/>
      <c r="Q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1078"/>
      <c r="L307" s="74"/>
      <c r="M307" s="74"/>
      <c r="N307" s="74"/>
      <c r="O307" s="74"/>
      <c r="P307" s="74"/>
      <c r="Q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1078"/>
      <c r="L308" s="74"/>
      <c r="M308" s="74"/>
      <c r="N308" s="74"/>
      <c r="O308" s="74"/>
      <c r="P308" s="74"/>
      <c r="Q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1078"/>
      <c r="L309" s="74"/>
      <c r="M309" s="74"/>
      <c r="N309" s="74"/>
      <c r="O309" s="74"/>
      <c r="P309" s="74"/>
      <c r="Q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1078"/>
      <c r="L310" s="74"/>
      <c r="M310" s="74"/>
      <c r="N310" s="74"/>
      <c r="O310" s="74"/>
      <c r="P310" s="74"/>
      <c r="Q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1078"/>
      <c r="L311" s="74"/>
      <c r="M311" s="74"/>
      <c r="N311" s="74"/>
      <c r="O311" s="74"/>
      <c r="P311" s="74"/>
      <c r="Q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1078"/>
      <c r="L312" s="74"/>
      <c r="M312" s="74"/>
      <c r="N312" s="74"/>
      <c r="O312" s="74"/>
      <c r="P312" s="74"/>
      <c r="Q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1078"/>
      <c r="L313" s="74"/>
      <c r="M313" s="74"/>
      <c r="N313" s="74"/>
      <c r="O313" s="74"/>
      <c r="P313" s="74"/>
      <c r="Q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1078"/>
      <c r="L314" s="74"/>
      <c r="M314" s="74"/>
      <c r="N314" s="74"/>
      <c r="O314" s="74"/>
      <c r="P314" s="74"/>
      <c r="Q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1078"/>
      <c r="L315" s="74"/>
      <c r="M315" s="74"/>
      <c r="N315" s="74"/>
      <c r="O315" s="74"/>
      <c r="P315" s="74"/>
      <c r="Q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1078"/>
      <c r="L316" s="74"/>
      <c r="M316" s="74"/>
      <c r="N316" s="74"/>
      <c r="O316" s="74"/>
      <c r="P316" s="74"/>
      <c r="Q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1078"/>
      <c r="L317" s="74"/>
      <c r="M317" s="74"/>
      <c r="N317" s="74"/>
      <c r="O317" s="74"/>
      <c r="P317" s="74"/>
      <c r="Q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1078"/>
      <c r="L318" s="74"/>
      <c r="M318" s="74"/>
      <c r="N318" s="74"/>
      <c r="O318" s="74"/>
      <c r="P318" s="74"/>
      <c r="Q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1078"/>
      <c r="L319" s="74"/>
      <c r="M319" s="74"/>
      <c r="N319" s="74"/>
      <c r="O319" s="74"/>
      <c r="P319" s="74"/>
      <c r="Q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1078"/>
      <c r="L320" s="74"/>
      <c r="M320" s="74"/>
      <c r="N320" s="74"/>
      <c r="O320" s="74"/>
      <c r="P320" s="74"/>
      <c r="Q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1078"/>
      <c r="L321" s="74"/>
      <c r="M321" s="74"/>
      <c r="N321" s="74"/>
      <c r="O321" s="74"/>
      <c r="P321" s="74"/>
      <c r="Q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1078"/>
      <c r="L322" s="74"/>
      <c r="M322" s="74"/>
      <c r="N322" s="74"/>
      <c r="O322" s="74"/>
      <c r="P322" s="74"/>
      <c r="Q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1078"/>
      <c r="L323" s="74"/>
      <c r="M323" s="74"/>
      <c r="N323" s="74"/>
      <c r="O323" s="74"/>
      <c r="P323" s="74"/>
      <c r="Q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1078"/>
      <c r="L324" s="74"/>
      <c r="M324" s="74"/>
      <c r="N324" s="74"/>
      <c r="O324" s="74"/>
      <c r="P324" s="74"/>
      <c r="Q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1078"/>
      <c r="L325" s="74"/>
      <c r="M325" s="74"/>
      <c r="N325" s="74"/>
      <c r="O325" s="74"/>
      <c r="P325" s="74"/>
      <c r="Q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1078"/>
      <c r="L326" s="74"/>
      <c r="M326" s="74"/>
      <c r="N326" s="74"/>
      <c r="O326" s="74"/>
      <c r="P326" s="74"/>
      <c r="Q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1078"/>
      <c r="L327" s="74"/>
      <c r="M327" s="74"/>
      <c r="N327" s="74"/>
      <c r="O327" s="74"/>
      <c r="P327" s="74"/>
      <c r="Q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1078"/>
      <c r="L328" s="74"/>
      <c r="M328" s="74"/>
      <c r="N328" s="74"/>
      <c r="O328" s="74"/>
      <c r="P328" s="74"/>
      <c r="Q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1078"/>
      <c r="L329" s="74"/>
      <c r="M329" s="74"/>
      <c r="N329" s="74"/>
      <c r="O329" s="74"/>
      <c r="P329" s="74"/>
      <c r="Q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1078"/>
      <c r="L330" s="74"/>
      <c r="M330" s="74"/>
      <c r="N330" s="74"/>
      <c r="O330" s="74"/>
      <c r="P330" s="74"/>
      <c r="Q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1078"/>
      <c r="L331" s="74"/>
      <c r="M331" s="74"/>
      <c r="N331" s="74"/>
      <c r="O331" s="74"/>
      <c r="P331" s="74"/>
      <c r="Q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1078"/>
      <c r="L332" s="74"/>
      <c r="M332" s="74"/>
      <c r="N332" s="74"/>
      <c r="O332" s="74"/>
      <c r="P332" s="74"/>
      <c r="Q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1078"/>
      <c r="L333" s="74"/>
      <c r="M333" s="74"/>
      <c r="N333" s="74"/>
      <c r="O333" s="74"/>
      <c r="P333" s="74"/>
      <c r="Q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1078"/>
      <c r="L334" s="74"/>
      <c r="M334" s="74"/>
      <c r="N334" s="74"/>
      <c r="O334" s="74"/>
      <c r="P334" s="74"/>
      <c r="Q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1078"/>
      <c r="L335" s="74"/>
      <c r="M335" s="74"/>
      <c r="N335" s="74"/>
      <c r="O335" s="74"/>
      <c r="P335" s="74"/>
      <c r="Q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1078"/>
      <c r="L336" s="74"/>
      <c r="M336" s="74"/>
      <c r="N336" s="74"/>
      <c r="O336" s="74"/>
      <c r="P336" s="74"/>
      <c r="Q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1078"/>
      <c r="L337" s="74"/>
      <c r="M337" s="74"/>
      <c r="N337" s="74"/>
      <c r="O337" s="74"/>
      <c r="P337" s="74"/>
      <c r="Q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1078"/>
      <c r="L338" s="74"/>
      <c r="M338" s="74"/>
      <c r="N338" s="74"/>
      <c r="O338" s="74"/>
      <c r="P338" s="74"/>
      <c r="Q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1078"/>
      <c r="L339" s="74"/>
      <c r="M339" s="74"/>
      <c r="N339" s="74"/>
      <c r="O339" s="74"/>
      <c r="P339" s="74"/>
      <c r="Q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1078"/>
      <c r="L340" s="74"/>
      <c r="M340" s="74"/>
      <c r="N340" s="74"/>
      <c r="O340" s="74"/>
      <c r="P340" s="74"/>
      <c r="Q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1078"/>
      <c r="L341" s="74"/>
      <c r="M341" s="74"/>
      <c r="N341" s="74"/>
      <c r="O341" s="74"/>
      <c r="P341" s="74"/>
      <c r="Q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1078"/>
      <c r="L342" s="74"/>
      <c r="M342" s="74"/>
      <c r="N342" s="74"/>
      <c r="O342" s="74"/>
      <c r="P342" s="74"/>
      <c r="Q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1078"/>
      <c r="L343" s="74"/>
      <c r="M343" s="74"/>
      <c r="N343" s="74"/>
      <c r="O343" s="74"/>
      <c r="P343" s="74"/>
      <c r="Q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1078"/>
      <c r="L344" s="74"/>
      <c r="M344" s="74"/>
      <c r="N344" s="74"/>
      <c r="O344" s="74"/>
      <c r="P344" s="74"/>
      <c r="Q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1078"/>
      <c r="L345" s="74"/>
      <c r="M345" s="74"/>
      <c r="N345" s="74"/>
      <c r="O345" s="74"/>
      <c r="P345" s="74"/>
      <c r="Q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1078"/>
      <c r="L346" s="74"/>
      <c r="M346" s="74"/>
      <c r="N346" s="74"/>
      <c r="O346" s="74"/>
      <c r="P346" s="74"/>
      <c r="Q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1078"/>
      <c r="L347" s="74"/>
      <c r="M347" s="74"/>
      <c r="N347" s="74"/>
      <c r="O347" s="74"/>
      <c r="P347" s="74"/>
      <c r="Q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1078"/>
      <c r="L348" s="74"/>
      <c r="M348" s="74"/>
      <c r="N348" s="74"/>
      <c r="O348" s="74"/>
      <c r="P348" s="74"/>
      <c r="Q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1078"/>
      <c r="L349" s="74"/>
      <c r="M349" s="74"/>
      <c r="N349" s="74"/>
      <c r="O349" s="74"/>
      <c r="P349" s="74"/>
      <c r="Q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1078"/>
      <c r="L350" s="74"/>
      <c r="M350" s="74"/>
      <c r="N350" s="74"/>
      <c r="O350" s="74"/>
      <c r="P350" s="74"/>
      <c r="Q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1078"/>
      <c r="L351" s="74"/>
      <c r="M351" s="74"/>
      <c r="N351" s="74"/>
      <c r="O351" s="74"/>
      <c r="P351" s="74"/>
      <c r="Q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1078"/>
      <c r="L352" s="74"/>
      <c r="M352" s="74"/>
      <c r="N352" s="74"/>
      <c r="O352" s="74"/>
      <c r="P352" s="74"/>
      <c r="Q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1078"/>
      <c r="L353" s="74"/>
      <c r="M353" s="74"/>
      <c r="N353" s="74"/>
      <c r="O353" s="74"/>
      <c r="P353" s="74"/>
      <c r="Q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1078"/>
      <c r="L354" s="74"/>
      <c r="M354" s="74"/>
      <c r="N354" s="74"/>
      <c r="O354" s="74"/>
      <c r="P354" s="74"/>
      <c r="Q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1078"/>
      <c r="L355" s="74"/>
      <c r="M355" s="74"/>
      <c r="N355" s="74"/>
      <c r="O355" s="74"/>
      <c r="P355" s="74"/>
      <c r="Q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1078"/>
      <c r="L356" s="74"/>
      <c r="M356" s="74"/>
      <c r="N356" s="74"/>
      <c r="O356" s="74"/>
      <c r="P356" s="74"/>
      <c r="Q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1078"/>
      <c r="L357" s="74"/>
      <c r="M357" s="74"/>
      <c r="N357" s="74"/>
      <c r="O357" s="74"/>
      <c r="P357" s="74"/>
      <c r="Q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1078"/>
      <c r="L358" s="74"/>
      <c r="M358" s="74"/>
      <c r="N358" s="74"/>
      <c r="O358" s="74"/>
      <c r="P358" s="74"/>
      <c r="Q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1078"/>
      <c r="L359" s="74"/>
      <c r="M359" s="74"/>
      <c r="N359" s="74"/>
      <c r="O359" s="74"/>
      <c r="P359" s="74"/>
      <c r="Q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1078"/>
      <c r="L360" s="74"/>
      <c r="M360" s="74"/>
      <c r="N360" s="74"/>
      <c r="O360" s="74"/>
      <c r="P360" s="74"/>
      <c r="Q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1078"/>
      <c r="L361" s="74"/>
      <c r="M361" s="74"/>
      <c r="N361" s="74"/>
      <c r="O361" s="74"/>
      <c r="P361" s="74"/>
      <c r="Q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1078"/>
      <c r="L362" s="74"/>
      <c r="M362" s="74"/>
      <c r="N362" s="74"/>
      <c r="O362" s="74"/>
      <c r="P362" s="74"/>
      <c r="Q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1078"/>
      <c r="L363" s="74"/>
      <c r="M363" s="74"/>
      <c r="N363" s="74"/>
      <c r="O363" s="74"/>
      <c r="P363" s="74"/>
      <c r="Q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1078"/>
      <c r="L364" s="74"/>
      <c r="M364" s="74"/>
      <c r="N364" s="74"/>
      <c r="O364" s="74"/>
      <c r="P364" s="74"/>
      <c r="Q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1078"/>
      <c r="L365" s="74"/>
      <c r="M365" s="74"/>
      <c r="N365" s="74"/>
      <c r="O365" s="74"/>
      <c r="P365" s="74"/>
      <c r="Q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1078"/>
      <c r="L366" s="74"/>
      <c r="M366" s="74"/>
      <c r="N366" s="74"/>
      <c r="O366" s="74"/>
      <c r="P366" s="74"/>
      <c r="Q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1078"/>
      <c r="L367" s="74"/>
      <c r="M367" s="74"/>
      <c r="N367" s="74"/>
      <c r="O367" s="74"/>
      <c r="P367" s="74"/>
      <c r="Q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1078"/>
      <c r="L368" s="74"/>
      <c r="M368" s="74"/>
      <c r="N368" s="74"/>
      <c r="O368" s="74"/>
      <c r="P368" s="74"/>
      <c r="Q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1078"/>
      <c r="L369" s="74"/>
      <c r="M369" s="74"/>
      <c r="N369" s="74"/>
      <c r="O369" s="74"/>
      <c r="P369" s="74"/>
      <c r="Q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1078"/>
      <c r="L370" s="74"/>
      <c r="M370" s="74"/>
      <c r="N370" s="74"/>
      <c r="O370" s="74"/>
      <c r="P370" s="74"/>
      <c r="Q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1078"/>
      <c r="L371" s="74"/>
      <c r="M371" s="74"/>
      <c r="N371" s="74"/>
      <c r="O371" s="74"/>
      <c r="P371" s="74"/>
      <c r="Q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1078"/>
      <c r="L372" s="74"/>
      <c r="M372" s="74"/>
      <c r="N372" s="74"/>
      <c r="O372" s="74"/>
      <c r="P372" s="74"/>
      <c r="Q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1078"/>
      <c r="L373" s="74"/>
      <c r="M373" s="74"/>
      <c r="N373" s="74"/>
      <c r="O373" s="74"/>
      <c r="P373" s="74"/>
      <c r="Q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1078"/>
      <c r="L374" s="74"/>
      <c r="M374" s="74"/>
      <c r="N374" s="74"/>
      <c r="O374" s="74"/>
      <c r="P374" s="74"/>
      <c r="Q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1078"/>
      <c r="L375" s="74"/>
      <c r="M375" s="74"/>
      <c r="N375" s="74"/>
      <c r="O375" s="74"/>
      <c r="P375" s="74"/>
      <c r="Q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1078"/>
      <c r="L376" s="74"/>
      <c r="M376" s="74"/>
      <c r="N376" s="74"/>
      <c r="O376" s="74"/>
      <c r="P376" s="74"/>
      <c r="Q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1078"/>
      <c r="L377" s="74"/>
      <c r="M377" s="74"/>
      <c r="N377" s="74"/>
      <c r="O377" s="74"/>
      <c r="P377" s="74"/>
      <c r="Q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1078"/>
      <c r="L378" s="74"/>
      <c r="M378" s="74"/>
      <c r="N378" s="74"/>
      <c r="O378" s="74"/>
      <c r="P378" s="74"/>
      <c r="Q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1078"/>
      <c r="L379" s="74"/>
      <c r="M379" s="74"/>
      <c r="N379" s="74"/>
      <c r="O379" s="74"/>
      <c r="P379" s="74"/>
      <c r="Q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1078"/>
      <c r="L380" s="74"/>
      <c r="M380" s="74"/>
      <c r="N380" s="74"/>
      <c r="O380" s="74"/>
      <c r="P380" s="74"/>
      <c r="Q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1078"/>
      <c r="L381" s="74"/>
      <c r="M381" s="74"/>
      <c r="N381" s="74"/>
      <c r="O381" s="74"/>
      <c r="P381" s="74"/>
      <c r="Q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1078"/>
      <c r="L382" s="74"/>
      <c r="M382" s="74"/>
      <c r="N382" s="74"/>
      <c r="O382" s="74"/>
      <c r="P382" s="74"/>
      <c r="Q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1078"/>
      <c r="L383" s="74"/>
      <c r="M383" s="74"/>
      <c r="N383" s="74"/>
      <c r="O383" s="74"/>
      <c r="P383" s="74"/>
      <c r="Q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1078"/>
      <c r="L384" s="74"/>
      <c r="M384" s="74"/>
      <c r="N384" s="74"/>
      <c r="O384" s="74"/>
      <c r="P384" s="74"/>
      <c r="Q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1078"/>
      <c r="L385" s="74"/>
      <c r="M385" s="74"/>
      <c r="N385" s="74"/>
      <c r="O385" s="74"/>
      <c r="P385" s="74"/>
      <c r="Q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1078"/>
      <c r="L386" s="74"/>
      <c r="M386" s="74"/>
      <c r="N386" s="74"/>
      <c r="O386" s="74"/>
      <c r="P386" s="74"/>
      <c r="Q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1078"/>
      <c r="L387" s="74"/>
      <c r="M387" s="74"/>
      <c r="N387" s="74"/>
      <c r="O387" s="74"/>
      <c r="P387" s="74"/>
      <c r="Q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1078"/>
      <c r="L388" s="74"/>
      <c r="M388" s="74"/>
      <c r="N388" s="74"/>
      <c r="O388" s="74"/>
      <c r="P388" s="74"/>
      <c r="Q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1078"/>
      <c r="L389" s="74"/>
      <c r="M389" s="74"/>
      <c r="N389" s="74"/>
      <c r="O389" s="74"/>
      <c r="P389" s="74"/>
      <c r="Q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1078"/>
      <c r="L390" s="74"/>
      <c r="M390" s="74"/>
      <c r="N390" s="74"/>
      <c r="O390" s="74"/>
      <c r="P390" s="74"/>
      <c r="Q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1078"/>
      <c r="L391" s="74"/>
      <c r="M391" s="74"/>
      <c r="N391" s="74"/>
      <c r="O391" s="74"/>
      <c r="P391" s="74"/>
      <c r="Q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1078"/>
      <c r="L392" s="74"/>
      <c r="M392" s="74"/>
      <c r="N392" s="74"/>
      <c r="O392" s="74"/>
      <c r="P392" s="74"/>
      <c r="Q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1078"/>
      <c r="L393" s="74"/>
      <c r="M393" s="74"/>
      <c r="N393" s="74"/>
      <c r="O393" s="74"/>
      <c r="P393" s="74"/>
      <c r="Q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1078"/>
      <c r="L394" s="74"/>
      <c r="M394" s="74"/>
      <c r="N394" s="74"/>
      <c r="O394" s="74"/>
      <c r="P394" s="74"/>
      <c r="Q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1078"/>
      <c r="L395" s="74"/>
      <c r="M395" s="74"/>
      <c r="N395" s="74"/>
      <c r="O395" s="74"/>
      <c r="P395" s="74"/>
      <c r="Q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1078"/>
      <c r="L396" s="74"/>
      <c r="M396" s="74"/>
      <c r="N396" s="74"/>
      <c r="O396" s="74"/>
      <c r="P396" s="74"/>
      <c r="Q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1078"/>
      <c r="L397" s="74"/>
      <c r="M397" s="74"/>
      <c r="N397" s="74"/>
      <c r="O397" s="74"/>
      <c r="P397" s="74"/>
      <c r="Q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1078"/>
      <c r="L398" s="74"/>
      <c r="M398" s="74"/>
      <c r="N398" s="74"/>
      <c r="O398" s="74"/>
      <c r="P398" s="74"/>
      <c r="Q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1078"/>
      <c r="L399" s="74"/>
      <c r="M399" s="74"/>
      <c r="N399" s="74"/>
      <c r="O399" s="74"/>
      <c r="P399" s="74"/>
      <c r="Q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1078"/>
      <c r="L400" s="74"/>
      <c r="M400" s="74"/>
      <c r="N400" s="74"/>
      <c r="O400" s="74"/>
      <c r="P400" s="74"/>
      <c r="Q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1078"/>
      <c r="L401" s="74"/>
      <c r="M401" s="74"/>
      <c r="N401" s="74"/>
      <c r="O401" s="74"/>
      <c r="P401" s="74"/>
      <c r="Q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1078"/>
      <c r="L402" s="74"/>
      <c r="M402" s="74"/>
      <c r="N402" s="74"/>
      <c r="O402" s="74"/>
      <c r="P402" s="74"/>
      <c r="Q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1078"/>
      <c r="L403" s="74"/>
      <c r="M403" s="74"/>
      <c r="N403" s="74"/>
      <c r="O403" s="74"/>
      <c r="P403" s="74"/>
      <c r="Q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1078"/>
      <c r="L404" s="74"/>
      <c r="M404" s="74"/>
      <c r="N404" s="74"/>
      <c r="O404" s="74"/>
      <c r="P404" s="74"/>
      <c r="Q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1078"/>
      <c r="L405" s="74"/>
      <c r="M405" s="74"/>
      <c r="N405" s="74"/>
      <c r="O405" s="74"/>
      <c r="P405" s="74"/>
      <c r="Q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1078"/>
      <c r="L406" s="74"/>
      <c r="M406" s="74"/>
      <c r="N406" s="74"/>
      <c r="O406" s="74"/>
      <c r="P406" s="74"/>
      <c r="Q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1078"/>
      <c r="L407" s="74"/>
      <c r="M407" s="74"/>
      <c r="N407" s="74"/>
      <c r="O407" s="74"/>
      <c r="P407" s="74"/>
      <c r="Q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1078"/>
      <c r="L408" s="74"/>
      <c r="M408" s="74"/>
      <c r="N408" s="74"/>
      <c r="O408" s="74"/>
      <c r="P408" s="74"/>
      <c r="Q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1078"/>
      <c r="L409" s="74"/>
      <c r="M409" s="74"/>
      <c r="N409" s="74"/>
      <c r="O409" s="74"/>
      <c r="P409" s="74"/>
      <c r="Q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1078"/>
      <c r="L410" s="74"/>
      <c r="M410" s="74"/>
      <c r="N410" s="74"/>
      <c r="O410" s="74"/>
      <c r="P410" s="74"/>
      <c r="Q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1078"/>
      <c r="L411" s="74"/>
      <c r="M411" s="74"/>
      <c r="N411" s="74"/>
      <c r="O411" s="74"/>
      <c r="P411" s="74"/>
      <c r="Q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1078"/>
      <c r="L412" s="74"/>
      <c r="M412" s="74"/>
      <c r="N412" s="74"/>
      <c r="O412" s="74"/>
      <c r="P412" s="74"/>
      <c r="Q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1078"/>
      <c r="L413" s="74"/>
      <c r="M413" s="74"/>
      <c r="N413" s="74"/>
      <c r="O413" s="74"/>
      <c r="P413" s="74"/>
      <c r="Q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1078"/>
      <c r="L414" s="74"/>
      <c r="M414" s="74"/>
      <c r="N414" s="74"/>
      <c r="O414" s="74"/>
      <c r="P414" s="74"/>
      <c r="Q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1078"/>
      <c r="L415" s="74"/>
      <c r="M415" s="74"/>
      <c r="N415" s="74"/>
      <c r="O415" s="74"/>
      <c r="P415" s="74"/>
      <c r="Q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1078"/>
      <c r="L416" s="74"/>
      <c r="M416" s="74"/>
      <c r="N416" s="74"/>
      <c r="O416" s="74"/>
      <c r="P416" s="74"/>
      <c r="Q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1078"/>
      <c r="L417" s="74"/>
      <c r="M417" s="74"/>
      <c r="N417" s="74"/>
      <c r="O417" s="74"/>
      <c r="P417" s="74"/>
      <c r="Q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1078"/>
      <c r="L418" s="74"/>
      <c r="M418" s="74"/>
      <c r="N418" s="74"/>
      <c r="O418" s="74"/>
      <c r="P418" s="74"/>
      <c r="Q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1078"/>
      <c r="L419" s="74"/>
      <c r="M419" s="74"/>
      <c r="N419" s="74"/>
      <c r="O419" s="74"/>
      <c r="P419" s="74"/>
      <c r="Q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1078"/>
      <c r="L420" s="74"/>
      <c r="M420" s="74"/>
      <c r="N420" s="74"/>
      <c r="O420" s="74"/>
      <c r="P420" s="74"/>
      <c r="Q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1078"/>
      <c r="L421" s="74"/>
      <c r="M421" s="74"/>
      <c r="N421" s="74"/>
      <c r="O421" s="74"/>
      <c r="P421" s="74"/>
      <c r="Q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1078"/>
      <c r="L422" s="74"/>
      <c r="M422" s="74"/>
      <c r="N422" s="74"/>
      <c r="O422" s="74"/>
      <c r="P422" s="74"/>
      <c r="Q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1078"/>
      <c r="L423" s="74"/>
      <c r="M423" s="74"/>
      <c r="N423" s="74"/>
      <c r="O423" s="74"/>
      <c r="P423" s="74"/>
      <c r="Q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1078"/>
      <c r="L424" s="74"/>
      <c r="M424" s="74"/>
      <c r="N424" s="74"/>
      <c r="O424" s="74"/>
      <c r="P424" s="74"/>
      <c r="Q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1078"/>
      <c r="L425" s="74"/>
      <c r="M425" s="74"/>
      <c r="N425" s="74"/>
      <c r="O425" s="74"/>
      <c r="P425" s="74"/>
      <c r="Q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1078"/>
      <c r="L426" s="74"/>
      <c r="M426" s="74"/>
      <c r="N426" s="74"/>
      <c r="O426" s="74"/>
      <c r="P426" s="74"/>
      <c r="Q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1078"/>
      <c r="L427" s="74"/>
      <c r="M427" s="74"/>
      <c r="N427" s="74"/>
      <c r="O427" s="74"/>
      <c r="P427" s="74"/>
      <c r="Q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1078"/>
      <c r="L428" s="74"/>
      <c r="M428" s="74"/>
      <c r="N428" s="74"/>
      <c r="O428" s="74"/>
      <c r="P428" s="74"/>
      <c r="Q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1078"/>
      <c r="L429" s="74"/>
      <c r="M429" s="74"/>
      <c r="N429" s="74"/>
      <c r="O429" s="74"/>
      <c r="P429" s="74"/>
      <c r="Q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1078"/>
      <c r="L430" s="74"/>
      <c r="M430" s="74"/>
      <c r="N430" s="74"/>
      <c r="O430" s="74"/>
      <c r="P430" s="74"/>
      <c r="Q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1078"/>
      <c r="L431" s="74"/>
      <c r="M431" s="74"/>
      <c r="N431" s="74"/>
      <c r="O431" s="74"/>
      <c r="P431" s="74"/>
      <c r="Q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1078"/>
      <c r="L432" s="74"/>
      <c r="M432" s="74"/>
      <c r="N432" s="74"/>
      <c r="O432" s="74"/>
      <c r="P432" s="74"/>
      <c r="Q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1078"/>
      <c r="L433" s="74"/>
      <c r="M433" s="74"/>
      <c r="N433" s="74"/>
      <c r="O433" s="74"/>
      <c r="P433" s="74"/>
      <c r="Q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1078"/>
      <c r="L434" s="74"/>
      <c r="M434" s="74"/>
      <c r="N434" s="74"/>
      <c r="O434" s="74"/>
      <c r="P434" s="74"/>
      <c r="Q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1078"/>
      <c r="L435" s="74"/>
      <c r="M435" s="74"/>
      <c r="N435" s="74"/>
      <c r="O435" s="74"/>
      <c r="P435" s="74"/>
      <c r="Q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1078"/>
      <c r="L436" s="74"/>
      <c r="M436" s="74"/>
      <c r="N436" s="74"/>
      <c r="O436" s="74"/>
      <c r="P436" s="74"/>
      <c r="Q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1078"/>
      <c r="L437" s="74"/>
      <c r="M437" s="74"/>
      <c r="N437" s="74"/>
      <c r="O437" s="74"/>
      <c r="P437" s="74"/>
      <c r="Q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1078"/>
      <c r="L438" s="74"/>
      <c r="M438" s="74"/>
      <c r="N438" s="74"/>
      <c r="O438" s="74"/>
      <c r="P438" s="74"/>
      <c r="Q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1078"/>
      <c r="L439" s="74"/>
      <c r="M439" s="74"/>
      <c r="N439" s="74"/>
      <c r="O439" s="74"/>
      <c r="P439" s="74"/>
      <c r="Q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1078"/>
      <c r="L440" s="74"/>
      <c r="M440" s="74"/>
      <c r="N440" s="74"/>
      <c r="O440" s="74"/>
      <c r="P440" s="74"/>
      <c r="Q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1078"/>
      <c r="L441" s="74"/>
      <c r="M441" s="74"/>
      <c r="N441" s="74"/>
      <c r="O441" s="74"/>
      <c r="P441" s="74"/>
      <c r="Q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1078"/>
      <c r="L442" s="74"/>
      <c r="M442" s="74"/>
      <c r="N442" s="74"/>
      <c r="O442" s="74"/>
      <c r="P442" s="74"/>
      <c r="Q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1078"/>
      <c r="L443" s="74"/>
      <c r="M443" s="74"/>
      <c r="N443" s="74"/>
      <c r="O443" s="74"/>
      <c r="P443" s="74"/>
      <c r="Q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1078"/>
      <c r="L444" s="74"/>
      <c r="M444" s="74"/>
      <c r="N444" s="74"/>
      <c r="O444" s="74"/>
      <c r="P444" s="74"/>
      <c r="Q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1078"/>
      <c r="L445" s="74"/>
      <c r="M445" s="74"/>
      <c r="N445" s="74"/>
      <c r="O445" s="74"/>
      <c r="P445" s="74"/>
      <c r="Q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1078"/>
      <c r="L446" s="74"/>
      <c r="M446" s="74"/>
      <c r="N446" s="74"/>
      <c r="O446" s="74"/>
      <c r="P446" s="74"/>
      <c r="Q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1078"/>
      <c r="L447" s="74"/>
      <c r="M447" s="74"/>
      <c r="N447" s="74"/>
      <c r="O447" s="74"/>
      <c r="P447" s="74"/>
      <c r="Q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1078"/>
      <c r="L448" s="74"/>
      <c r="M448" s="74"/>
      <c r="N448" s="74"/>
      <c r="O448" s="74"/>
      <c r="P448" s="74"/>
      <c r="Q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1078"/>
      <c r="L449" s="74"/>
      <c r="M449" s="74"/>
      <c r="N449" s="74"/>
      <c r="O449" s="74"/>
      <c r="P449" s="74"/>
      <c r="Q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1078"/>
      <c r="L450" s="74"/>
      <c r="M450" s="74"/>
      <c r="N450" s="74"/>
      <c r="O450" s="74"/>
      <c r="P450" s="74"/>
      <c r="Q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1078"/>
      <c r="L451" s="74"/>
      <c r="M451" s="74"/>
      <c r="N451" s="74"/>
      <c r="O451" s="74"/>
      <c r="P451" s="74"/>
      <c r="Q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1078"/>
      <c r="L452" s="74"/>
      <c r="M452" s="74"/>
      <c r="N452" s="74"/>
      <c r="O452" s="74"/>
      <c r="P452" s="74"/>
      <c r="Q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1078"/>
      <c r="L453" s="74"/>
      <c r="M453" s="74"/>
      <c r="N453" s="74"/>
      <c r="O453" s="74"/>
      <c r="P453" s="74"/>
      <c r="Q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1078"/>
      <c r="L454" s="74"/>
      <c r="M454" s="74"/>
      <c r="N454" s="74"/>
      <c r="O454" s="74"/>
      <c r="P454" s="74"/>
      <c r="Q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1078"/>
      <c r="L455" s="74"/>
      <c r="M455" s="74"/>
      <c r="N455" s="74"/>
      <c r="O455" s="74"/>
      <c r="P455" s="74"/>
      <c r="Q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1078"/>
      <c r="L456" s="74"/>
      <c r="M456" s="74"/>
      <c r="N456" s="74"/>
      <c r="O456" s="74"/>
      <c r="P456" s="74"/>
      <c r="Q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1078"/>
      <c r="L457" s="74"/>
      <c r="M457" s="74"/>
      <c r="N457" s="74"/>
      <c r="O457" s="74"/>
      <c r="P457" s="74"/>
      <c r="Q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1078"/>
      <c r="L458" s="74"/>
      <c r="M458" s="74"/>
      <c r="N458" s="74"/>
      <c r="O458" s="74"/>
      <c r="P458" s="74"/>
      <c r="Q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1078"/>
      <c r="L459" s="74"/>
      <c r="M459" s="74"/>
      <c r="N459" s="74"/>
      <c r="O459" s="74"/>
      <c r="P459" s="74"/>
      <c r="Q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1078"/>
      <c r="L460" s="74"/>
      <c r="M460" s="74"/>
      <c r="N460" s="74"/>
      <c r="O460" s="74"/>
      <c r="P460" s="74"/>
      <c r="Q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1078"/>
      <c r="L461" s="74"/>
      <c r="M461" s="74"/>
      <c r="N461" s="74"/>
      <c r="O461" s="74"/>
      <c r="P461" s="74"/>
      <c r="Q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1078"/>
      <c r="L462" s="74"/>
      <c r="M462" s="74"/>
      <c r="N462" s="74"/>
      <c r="O462" s="74"/>
      <c r="P462" s="74"/>
      <c r="Q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1078"/>
      <c r="L463" s="74"/>
      <c r="M463" s="74"/>
      <c r="N463" s="74"/>
      <c r="O463" s="74"/>
      <c r="P463" s="74"/>
      <c r="Q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1078"/>
      <c r="L464" s="74"/>
      <c r="M464" s="74"/>
      <c r="N464" s="74"/>
      <c r="O464" s="74"/>
      <c r="P464" s="74"/>
      <c r="Q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1078"/>
      <c r="L465" s="74"/>
      <c r="M465" s="74"/>
      <c r="N465" s="74"/>
      <c r="O465" s="74"/>
      <c r="P465" s="74"/>
      <c r="Q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1078"/>
      <c r="L466" s="74"/>
      <c r="M466" s="74"/>
      <c r="N466" s="74"/>
      <c r="O466" s="74"/>
      <c r="P466" s="74"/>
      <c r="Q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1078"/>
      <c r="L467" s="74"/>
      <c r="M467" s="74"/>
      <c r="N467" s="74"/>
      <c r="O467" s="74"/>
      <c r="P467" s="74"/>
      <c r="Q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1078"/>
      <c r="L468" s="74"/>
      <c r="M468" s="74"/>
      <c r="N468" s="74"/>
      <c r="O468" s="74"/>
      <c r="P468" s="74"/>
      <c r="Q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1078"/>
      <c r="L469" s="74"/>
      <c r="M469" s="74"/>
      <c r="N469" s="74"/>
      <c r="O469" s="74"/>
      <c r="P469" s="74"/>
      <c r="Q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1078"/>
      <c r="L470" s="74"/>
      <c r="M470" s="74"/>
      <c r="N470" s="74"/>
      <c r="O470" s="74"/>
      <c r="P470" s="74"/>
      <c r="Q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1078"/>
      <c r="L471" s="74"/>
      <c r="M471" s="74"/>
      <c r="N471" s="74"/>
      <c r="O471" s="74"/>
      <c r="P471" s="74"/>
      <c r="Q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1078"/>
      <c r="L472" s="74"/>
      <c r="M472" s="74"/>
      <c r="N472" s="74"/>
      <c r="O472" s="74"/>
      <c r="P472" s="74"/>
      <c r="Q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1078"/>
      <c r="L473" s="74"/>
      <c r="M473" s="74"/>
      <c r="N473" s="74"/>
      <c r="O473" s="74"/>
      <c r="P473" s="74"/>
      <c r="Q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1078"/>
      <c r="L474" s="74"/>
      <c r="M474" s="74"/>
      <c r="N474" s="74"/>
      <c r="O474" s="74"/>
      <c r="P474" s="74"/>
      <c r="Q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1078"/>
      <c r="L475" s="74"/>
      <c r="M475" s="74"/>
      <c r="N475" s="74"/>
      <c r="O475" s="74"/>
      <c r="P475" s="74"/>
      <c r="Q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1078"/>
      <c r="L476" s="74"/>
      <c r="M476" s="74"/>
      <c r="N476" s="74"/>
      <c r="O476" s="74"/>
      <c r="P476" s="74"/>
      <c r="Q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1078"/>
      <c r="L477" s="74"/>
      <c r="M477" s="74"/>
      <c r="N477" s="74"/>
      <c r="O477" s="74"/>
      <c r="P477" s="74"/>
      <c r="Q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1078"/>
      <c r="L478" s="74"/>
      <c r="M478" s="74"/>
      <c r="N478" s="74"/>
      <c r="O478" s="74"/>
      <c r="P478" s="74"/>
      <c r="Q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1078"/>
      <c r="L479" s="74"/>
      <c r="M479" s="74"/>
      <c r="N479" s="74"/>
      <c r="O479" s="74"/>
      <c r="P479" s="74"/>
      <c r="Q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1078"/>
      <c r="L480" s="74"/>
      <c r="M480" s="74"/>
      <c r="N480" s="74"/>
      <c r="O480" s="74"/>
      <c r="P480" s="74"/>
      <c r="Q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1078"/>
      <c r="L481" s="74"/>
      <c r="M481" s="74"/>
      <c r="N481" s="74"/>
      <c r="O481" s="74"/>
      <c r="P481" s="74"/>
      <c r="Q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1078"/>
      <c r="L482" s="74"/>
      <c r="M482" s="74"/>
      <c r="N482" s="74"/>
      <c r="O482" s="74"/>
      <c r="P482" s="74"/>
      <c r="Q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1078"/>
      <c r="L483" s="74"/>
      <c r="M483" s="74"/>
      <c r="N483" s="74"/>
      <c r="O483" s="74"/>
      <c r="P483" s="74"/>
      <c r="Q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1078"/>
      <c r="L484" s="74"/>
      <c r="M484" s="74"/>
      <c r="N484" s="74"/>
      <c r="O484" s="74"/>
      <c r="P484" s="74"/>
      <c r="Q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1078"/>
      <c r="L485" s="74"/>
      <c r="M485" s="74"/>
      <c r="N485" s="74"/>
      <c r="O485" s="74"/>
      <c r="P485" s="74"/>
      <c r="Q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1078"/>
      <c r="L486" s="74"/>
      <c r="M486" s="74"/>
      <c r="N486" s="74"/>
      <c r="O486" s="74"/>
      <c r="P486" s="74"/>
      <c r="Q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1078"/>
      <c r="L487" s="74"/>
      <c r="M487" s="74"/>
      <c r="N487" s="74"/>
      <c r="O487" s="74"/>
      <c r="P487" s="74"/>
      <c r="Q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1078"/>
      <c r="L488" s="74"/>
      <c r="M488" s="74"/>
      <c r="N488" s="74"/>
      <c r="O488" s="74"/>
      <c r="P488" s="74"/>
      <c r="Q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1078"/>
      <c r="L489" s="74"/>
      <c r="M489" s="74"/>
      <c r="N489" s="74"/>
      <c r="O489" s="74"/>
      <c r="P489" s="74"/>
      <c r="Q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1078"/>
      <c r="L490" s="74"/>
      <c r="M490" s="74"/>
      <c r="N490" s="74"/>
      <c r="O490" s="74"/>
      <c r="P490" s="74"/>
      <c r="Q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1078"/>
      <c r="L491" s="74"/>
      <c r="M491" s="74"/>
      <c r="N491" s="74"/>
      <c r="O491" s="74"/>
      <c r="P491" s="74"/>
      <c r="Q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1078"/>
      <c r="L492" s="74"/>
      <c r="M492" s="74"/>
      <c r="N492" s="74"/>
      <c r="O492" s="74"/>
      <c r="P492" s="74"/>
      <c r="Q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1078"/>
      <c r="L493" s="74"/>
      <c r="M493" s="74"/>
      <c r="N493" s="74"/>
      <c r="O493" s="74"/>
      <c r="P493" s="74"/>
      <c r="Q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1078"/>
      <c r="L494" s="74"/>
      <c r="M494" s="74"/>
      <c r="N494" s="74"/>
      <c r="O494" s="74"/>
      <c r="P494" s="74"/>
      <c r="Q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1078"/>
      <c r="L495" s="74"/>
      <c r="M495" s="74"/>
      <c r="N495" s="74"/>
      <c r="O495" s="74"/>
      <c r="P495" s="74"/>
      <c r="Q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1078"/>
      <c r="L496" s="74"/>
      <c r="M496" s="74"/>
      <c r="N496" s="74"/>
      <c r="O496" s="74"/>
      <c r="P496" s="74"/>
      <c r="Q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1078"/>
      <c r="L497" s="74"/>
      <c r="M497" s="74"/>
      <c r="N497" s="74"/>
      <c r="O497" s="74"/>
      <c r="P497" s="74"/>
      <c r="Q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1078"/>
      <c r="L498" s="74"/>
      <c r="M498" s="74"/>
      <c r="N498" s="74"/>
      <c r="O498" s="74"/>
      <c r="P498" s="74"/>
      <c r="Q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1078"/>
      <c r="L499" s="74"/>
      <c r="M499" s="74"/>
      <c r="N499" s="74"/>
      <c r="O499" s="74"/>
      <c r="P499" s="74"/>
      <c r="Q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1078"/>
      <c r="L500" s="74"/>
      <c r="M500" s="74"/>
      <c r="N500" s="74"/>
      <c r="O500" s="74"/>
      <c r="P500" s="74"/>
      <c r="Q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1078"/>
      <c r="L501" s="74"/>
      <c r="M501" s="74"/>
      <c r="N501" s="74"/>
      <c r="O501" s="74"/>
      <c r="P501" s="74"/>
      <c r="Q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1078"/>
      <c r="L502" s="74"/>
      <c r="M502" s="74"/>
      <c r="N502" s="74"/>
      <c r="O502" s="74"/>
      <c r="P502" s="74"/>
      <c r="Q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1078"/>
      <c r="L503" s="74"/>
      <c r="M503" s="74"/>
      <c r="N503" s="74"/>
      <c r="O503" s="74"/>
      <c r="P503" s="74"/>
      <c r="Q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1078"/>
      <c r="L504" s="74"/>
      <c r="M504" s="74"/>
      <c r="N504" s="74"/>
      <c r="O504" s="74"/>
      <c r="P504" s="74"/>
      <c r="Q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1078"/>
      <c r="L505" s="74"/>
      <c r="M505" s="74"/>
      <c r="N505" s="74"/>
      <c r="O505" s="74"/>
      <c r="P505" s="74"/>
      <c r="Q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1078"/>
      <c r="L506" s="74"/>
      <c r="M506" s="74"/>
      <c r="N506" s="74"/>
      <c r="O506" s="74"/>
      <c r="P506" s="74"/>
      <c r="Q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1078"/>
      <c r="L507" s="74"/>
      <c r="M507" s="74"/>
      <c r="N507" s="74"/>
      <c r="O507" s="74"/>
      <c r="P507" s="74"/>
      <c r="Q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1078"/>
      <c r="L508" s="74"/>
      <c r="M508" s="74"/>
      <c r="N508" s="74"/>
      <c r="O508" s="74"/>
      <c r="P508" s="74"/>
      <c r="Q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1078"/>
      <c r="L509" s="74"/>
      <c r="M509" s="74"/>
      <c r="N509" s="74"/>
      <c r="O509" s="74"/>
      <c r="P509" s="74"/>
      <c r="Q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1078"/>
      <c r="L510" s="74"/>
      <c r="M510" s="74"/>
      <c r="N510" s="74"/>
      <c r="O510" s="74"/>
      <c r="P510" s="74"/>
      <c r="Q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1078"/>
      <c r="L511" s="74"/>
      <c r="M511" s="74"/>
      <c r="N511" s="74"/>
      <c r="O511" s="74"/>
      <c r="P511" s="74"/>
      <c r="Q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1078"/>
      <c r="L512" s="74"/>
      <c r="M512" s="74"/>
      <c r="N512" s="74"/>
      <c r="O512" s="74"/>
      <c r="P512" s="74"/>
      <c r="Q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1078"/>
      <c r="L513" s="74"/>
      <c r="M513" s="74"/>
      <c r="N513" s="74"/>
      <c r="O513" s="74"/>
      <c r="P513" s="74"/>
      <c r="Q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1078"/>
      <c r="L514" s="74"/>
      <c r="M514" s="74"/>
      <c r="N514" s="74"/>
      <c r="O514" s="74"/>
      <c r="P514" s="74"/>
      <c r="Q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1078"/>
      <c r="L515" s="74"/>
      <c r="M515" s="74"/>
      <c r="N515" s="74"/>
      <c r="O515" s="74"/>
      <c r="P515" s="74"/>
      <c r="Q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1078"/>
      <c r="L516" s="74"/>
      <c r="M516" s="74"/>
      <c r="N516" s="74"/>
      <c r="O516" s="74"/>
      <c r="P516" s="74"/>
      <c r="Q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1078"/>
      <c r="L517" s="74"/>
      <c r="M517" s="74"/>
      <c r="N517" s="74"/>
      <c r="O517" s="74"/>
      <c r="P517" s="74"/>
      <c r="Q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1078"/>
      <c r="L518" s="74"/>
      <c r="M518" s="74"/>
      <c r="N518" s="74"/>
      <c r="O518" s="74"/>
      <c r="P518" s="74"/>
      <c r="Q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1078"/>
      <c r="L519" s="74"/>
      <c r="M519" s="74"/>
      <c r="N519" s="74"/>
      <c r="O519" s="74"/>
      <c r="P519" s="74"/>
      <c r="Q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1078"/>
      <c r="L520" s="74"/>
      <c r="M520" s="74"/>
      <c r="N520" s="74"/>
      <c r="O520" s="74"/>
      <c r="P520" s="74"/>
      <c r="Q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1078"/>
      <c r="L521" s="74"/>
      <c r="M521" s="74"/>
      <c r="N521" s="74"/>
      <c r="O521" s="74"/>
      <c r="P521" s="74"/>
      <c r="Q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1078"/>
      <c r="L522" s="74"/>
      <c r="M522" s="74"/>
      <c r="N522" s="74"/>
      <c r="O522" s="74"/>
      <c r="P522" s="74"/>
      <c r="Q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1078"/>
      <c r="L523" s="74"/>
      <c r="M523" s="74"/>
      <c r="N523" s="74"/>
      <c r="O523" s="74"/>
      <c r="P523" s="74"/>
      <c r="Q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1078"/>
      <c r="L524" s="74"/>
      <c r="M524" s="74"/>
      <c r="N524" s="74"/>
      <c r="O524" s="74"/>
      <c r="P524" s="74"/>
      <c r="Q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1078"/>
      <c r="L525" s="74"/>
      <c r="M525" s="74"/>
      <c r="N525" s="74"/>
      <c r="O525" s="74"/>
      <c r="P525" s="74"/>
      <c r="Q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1078"/>
      <c r="L526" s="74"/>
      <c r="M526" s="74"/>
      <c r="N526" s="74"/>
      <c r="O526" s="74"/>
      <c r="P526" s="74"/>
      <c r="Q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1078"/>
      <c r="L527" s="74"/>
      <c r="M527" s="74"/>
      <c r="N527" s="74"/>
      <c r="O527" s="74"/>
      <c r="P527" s="74"/>
      <c r="Q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1078"/>
      <c r="L528" s="74"/>
      <c r="M528" s="74"/>
      <c r="N528" s="74"/>
      <c r="O528" s="74"/>
      <c r="P528" s="74"/>
      <c r="Q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1078"/>
      <c r="L529" s="74"/>
      <c r="M529" s="74"/>
      <c r="N529" s="74"/>
      <c r="O529" s="74"/>
      <c r="P529" s="74"/>
      <c r="Q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1078"/>
      <c r="L530" s="74"/>
      <c r="M530" s="74"/>
      <c r="N530" s="74"/>
      <c r="O530" s="74"/>
      <c r="P530" s="74"/>
      <c r="Q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1078"/>
      <c r="L531" s="74"/>
      <c r="M531" s="74"/>
      <c r="N531" s="74"/>
      <c r="O531" s="74"/>
      <c r="P531" s="74"/>
      <c r="Q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1078"/>
      <c r="L532" s="74"/>
      <c r="M532" s="74"/>
      <c r="N532" s="74"/>
      <c r="O532" s="74"/>
      <c r="P532" s="74"/>
      <c r="Q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1078"/>
      <c r="L533" s="74"/>
      <c r="M533" s="74"/>
      <c r="N533" s="74"/>
      <c r="O533" s="74"/>
      <c r="P533" s="74"/>
      <c r="Q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1078"/>
      <c r="L534" s="74"/>
      <c r="M534" s="74"/>
      <c r="N534" s="74"/>
      <c r="O534" s="74"/>
      <c r="P534" s="74"/>
      <c r="Q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1078"/>
      <c r="L535" s="74"/>
      <c r="M535" s="74"/>
      <c r="N535" s="74"/>
      <c r="O535" s="74"/>
      <c r="P535" s="74"/>
      <c r="Q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1078"/>
      <c r="L536" s="74"/>
      <c r="M536" s="74"/>
      <c r="N536" s="74"/>
      <c r="O536" s="74"/>
      <c r="P536" s="74"/>
      <c r="Q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1078"/>
      <c r="L537" s="74"/>
      <c r="M537" s="74"/>
      <c r="N537" s="74"/>
      <c r="O537" s="74"/>
      <c r="P537" s="74"/>
      <c r="Q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1078"/>
      <c r="L538" s="74"/>
      <c r="M538" s="74"/>
      <c r="N538" s="74"/>
      <c r="O538" s="74"/>
      <c r="P538" s="74"/>
      <c r="Q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1078"/>
      <c r="L539" s="74"/>
      <c r="M539" s="74"/>
      <c r="N539" s="74"/>
      <c r="O539" s="74"/>
      <c r="P539" s="74"/>
      <c r="Q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1078"/>
      <c r="L540" s="74"/>
      <c r="M540" s="74"/>
      <c r="N540" s="74"/>
      <c r="O540" s="74"/>
      <c r="P540" s="74"/>
      <c r="Q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1078"/>
      <c r="L541" s="74"/>
      <c r="M541" s="74"/>
      <c r="N541" s="74"/>
      <c r="O541" s="74"/>
      <c r="P541" s="74"/>
      <c r="Q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1078"/>
      <c r="L542" s="74"/>
      <c r="M542" s="74"/>
      <c r="N542" s="74"/>
      <c r="O542" s="74"/>
      <c r="P542" s="74"/>
      <c r="Q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1078"/>
      <c r="L543" s="74"/>
      <c r="M543" s="74"/>
      <c r="N543" s="74"/>
      <c r="O543" s="74"/>
      <c r="P543" s="74"/>
      <c r="Q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1078"/>
      <c r="L544" s="74"/>
      <c r="M544" s="74"/>
      <c r="N544" s="74"/>
      <c r="O544" s="74"/>
      <c r="P544" s="74"/>
      <c r="Q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1078"/>
      <c r="L545" s="74"/>
      <c r="M545" s="74"/>
      <c r="N545" s="74"/>
      <c r="O545" s="74"/>
      <c r="P545" s="74"/>
      <c r="Q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1078"/>
      <c r="L546" s="74"/>
      <c r="M546" s="74"/>
      <c r="N546" s="74"/>
      <c r="O546" s="74"/>
      <c r="P546" s="74"/>
      <c r="Q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1078"/>
      <c r="L547" s="74"/>
      <c r="M547" s="74"/>
      <c r="N547" s="74"/>
      <c r="O547" s="74"/>
      <c r="P547" s="74"/>
      <c r="Q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1078"/>
      <c r="L548" s="74"/>
      <c r="M548" s="74"/>
      <c r="N548" s="74"/>
      <c r="O548" s="74"/>
      <c r="P548" s="74"/>
      <c r="Q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1078"/>
      <c r="L549" s="74"/>
      <c r="M549" s="74"/>
      <c r="N549" s="74"/>
      <c r="O549" s="74"/>
      <c r="P549" s="74"/>
      <c r="Q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1078"/>
      <c r="L550" s="74"/>
      <c r="M550" s="74"/>
      <c r="N550" s="74"/>
      <c r="O550" s="74"/>
      <c r="P550" s="74"/>
      <c r="Q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1078"/>
      <c r="L551" s="74"/>
      <c r="M551" s="74"/>
      <c r="N551" s="74"/>
      <c r="O551" s="74"/>
      <c r="P551" s="74"/>
      <c r="Q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1078"/>
      <c r="L552" s="74"/>
      <c r="M552" s="74"/>
      <c r="N552" s="74"/>
      <c r="O552" s="74"/>
      <c r="P552" s="74"/>
      <c r="Q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1078"/>
      <c r="L553" s="74"/>
      <c r="M553" s="74"/>
      <c r="N553" s="74"/>
      <c r="O553" s="74"/>
      <c r="P553" s="74"/>
      <c r="Q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1078"/>
      <c r="L554" s="74"/>
      <c r="M554" s="74"/>
      <c r="N554" s="74"/>
      <c r="O554" s="74"/>
      <c r="P554" s="74"/>
      <c r="Q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1078"/>
      <c r="L555" s="74"/>
      <c r="M555" s="74"/>
      <c r="N555" s="74"/>
      <c r="O555" s="74"/>
      <c r="P555" s="74"/>
      <c r="Q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1078"/>
      <c r="L556" s="74"/>
      <c r="M556" s="74"/>
      <c r="N556" s="74"/>
      <c r="O556" s="74"/>
      <c r="P556" s="74"/>
      <c r="Q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1078"/>
      <c r="L557" s="74"/>
      <c r="M557" s="74"/>
      <c r="N557" s="74"/>
      <c r="O557" s="74"/>
      <c r="P557" s="74"/>
      <c r="Q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1078"/>
      <c r="L558" s="74"/>
      <c r="M558" s="74"/>
      <c r="N558" s="74"/>
      <c r="O558" s="74"/>
      <c r="P558" s="74"/>
      <c r="Q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1078"/>
      <c r="L559" s="74"/>
      <c r="M559" s="74"/>
      <c r="N559" s="74"/>
      <c r="O559" s="74"/>
      <c r="P559" s="74"/>
      <c r="Q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1078"/>
      <c r="L560" s="74"/>
      <c r="M560" s="74"/>
      <c r="N560" s="74"/>
      <c r="O560" s="74"/>
      <c r="P560" s="74"/>
      <c r="Q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1078"/>
      <c r="L561" s="74"/>
      <c r="M561" s="74"/>
      <c r="N561" s="74"/>
      <c r="O561" s="74"/>
      <c r="P561" s="74"/>
      <c r="Q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1078"/>
      <c r="L562" s="74"/>
      <c r="M562" s="74"/>
      <c r="N562" s="74"/>
      <c r="O562" s="74"/>
      <c r="P562" s="74"/>
      <c r="Q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1078"/>
      <c r="L563" s="74"/>
      <c r="M563" s="74"/>
      <c r="N563" s="74"/>
      <c r="O563" s="74"/>
      <c r="P563" s="74"/>
      <c r="Q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1078"/>
      <c r="L564" s="74"/>
      <c r="M564" s="74"/>
      <c r="N564" s="74"/>
      <c r="O564" s="74"/>
      <c r="P564" s="74"/>
      <c r="Q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1078"/>
      <c r="L565" s="74"/>
      <c r="M565" s="74"/>
      <c r="N565" s="74"/>
      <c r="O565" s="74"/>
      <c r="P565" s="74"/>
      <c r="Q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1078"/>
      <c r="L566" s="74"/>
      <c r="M566" s="74"/>
      <c r="N566" s="74"/>
      <c r="O566" s="74"/>
      <c r="P566" s="74"/>
      <c r="Q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1078"/>
      <c r="L567" s="74"/>
      <c r="M567" s="74"/>
      <c r="N567" s="74"/>
      <c r="O567" s="74"/>
      <c r="P567" s="74"/>
      <c r="Q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1078"/>
      <c r="L568" s="74"/>
      <c r="M568" s="74"/>
      <c r="N568" s="74"/>
      <c r="O568" s="74"/>
      <c r="P568" s="74"/>
      <c r="Q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1078"/>
      <c r="L569" s="74"/>
      <c r="M569" s="74"/>
      <c r="N569" s="74"/>
      <c r="O569" s="74"/>
      <c r="P569" s="74"/>
      <c r="Q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1078"/>
      <c r="L570" s="74"/>
      <c r="M570" s="74"/>
      <c r="N570" s="74"/>
      <c r="O570" s="74"/>
      <c r="P570" s="74"/>
      <c r="Q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1078"/>
      <c r="L571" s="74"/>
      <c r="M571" s="74"/>
      <c r="N571" s="74"/>
      <c r="O571" s="74"/>
      <c r="P571" s="74"/>
      <c r="Q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1078"/>
      <c r="L572" s="74"/>
      <c r="M572" s="74"/>
      <c r="N572" s="74"/>
      <c r="O572" s="74"/>
      <c r="P572" s="74"/>
      <c r="Q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1078"/>
      <c r="L573" s="74"/>
      <c r="M573" s="74"/>
      <c r="N573" s="74"/>
      <c r="O573" s="74"/>
      <c r="P573" s="74"/>
      <c r="Q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1078"/>
      <c r="L574" s="74"/>
      <c r="M574" s="74"/>
      <c r="N574" s="74"/>
      <c r="O574" s="74"/>
      <c r="P574" s="74"/>
      <c r="Q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1078"/>
      <c r="L575" s="74"/>
      <c r="M575" s="74"/>
      <c r="N575" s="74"/>
      <c r="O575" s="74"/>
      <c r="P575" s="74"/>
      <c r="Q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1078"/>
      <c r="L576" s="74"/>
      <c r="M576" s="74"/>
      <c r="N576" s="74"/>
      <c r="O576" s="74"/>
      <c r="P576" s="74"/>
      <c r="Q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1078"/>
      <c r="L577" s="74"/>
      <c r="M577" s="74"/>
      <c r="N577" s="74"/>
      <c r="O577" s="74"/>
      <c r="P577" s="74"/>
      <c r="Q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1078"/>
      <c r="L578" s="74"/>
      <c r="M578" s="74"/>
      <c r="N578" s="74"/>
      <c r="O578" s="74"/>
      <c r="P578" s="74"/>
      <c r="Q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1078"/>
      <c r="L579" s="74"/>
      <c r="M579" s="74"/>
      <c r="N579" s="74"/>
      <c r="O579" s="74"/>
      <c r="P579" s="74"/>
      <c r="Q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1078"/>
      <c r="L580" s="74"/>
      <c r="M580" s="74"/>
      <c r="N580" s="74"/>
      <c r="O580" s="74"/>
      <c r="P580" s="74"/>
      <c r="Q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1078"/>
      <c r="L581" s="74"/>
      <c r="M581" s="74"/>
      <c r="N581" s="74"/>
      <c r="O581" s="74"/>
      <c r="P581" s="74"/>
      <c r="Q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1078"/>
      <c r="L582" s="74"/>
      <c r="M582" s="74"/>
      <c r="N582" s="74"/>
      <c r="O582" s="74"/>
      <c r="P582" s="74"/>
      <c r="Q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1078"/>
      <c r="L583" s="74"/>
      <c r="M583" s="74"/>
      <c r="N583" s="74"/>
      <c r="O583" s="74"/>
      <c r="P583" s="74"/>
      <c r="Q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1078"/>
      <c r="L584" s="74"/>
      <c r="M584" s="74"/>
      <c r="N584" s="74"/>
      <c r="O584" s="74"/>
      <c r="P584" s="74"/>
      <c r="Q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1078"/>
      <c r="L585" s="74"/>
      <c r="M585" s="74"/>
      <c r="N585" s="74"/>
      <c r="O585" s="74"/>
      <c r="P585" s="74"/>
      <c r="Q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1078"/>
      <c r="L586" s="74"/>
      <c r="M586" s="74"/>
      <c r="N586" s="74"/>
      <c r="O586" s="74"/>
      <c r="P586" s="74"/>
      <c r="Q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1078"/>
      <c r="L587" s="74"/>
      <c r="M587" s="74"/>
      <c r="N587" s="74"/>
      <c r="O587" s="74"/>
      <c r="P587" s="74"/>
      <c r="Q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1078"/>
      <c r="L588" s="74"/>
      <c r="M588" s="74"/>
      <c r="N588" s="74"/>
      <c r="O588" s="74"/>
      <c r="P588" s="74"/>
      <c r="Q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1078"/>
      <c r="L589" s="74"/>
      <c r="M589" s="74"/>
      <c r="N589" s="74"/>
      <c r="O589" s="74"/>
      <c r="P589" s="74"/>
      <c r="Q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1078"/>
      <c r="L590" s="74"/>
      <c r="M590" s="74"/>
      <c r="N590" s="74"/>
      <c r="O590" s="74"/>
      <c r="P590" s="74"/>
      <c r="Q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1078"/>
      <c r="L591" s="74"/>
      <c r="M591" s="74"/>
      <c r="N591" s="74"/>
      <c r="O591" s="74"/>
      <c r="P591" s="74"/>
      <c r="Q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1078"/>
      <c r="L592" s="74"/>
      <c r="M592" s="74"/>
      <c r="N592" s="74"/>
      <c r="O592" s="74"/>
      <c r="P592" s="74"/>
      <c r="Q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1078"/>
      <c r="L593" s="74"/>
      <c r="M593" s="74"/>
      <c r="N593" s="74"/>
      <c r="O593" s="74"/>
      <c r="P593" s="74"/>
      <c r="Q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1078"/>
      <c r="L594" s="74"/>
      <c r="M594" s="74"/>
      <c r="N594" s="74"/>
      <c r="O594" s="74"/>
      <c r="P594" s="74"/>
      <c r="Q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1078"/>
      <c r="L595" s="74"/>
      <c r="M595" s="74"/>
      <c r="N595" s="74"/>
      <c r="O595" s="74"/>
      <c r="P595" s="74"/>
      <c r="Q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1078"/>
      <c r="L596" s="74"/>
      <c r="M596" s="74"/>
      <c r="N596" s="74"/>
      <c r="O596" s="74"/>
      <c r="P596" s="74"/>
      <c r="Q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1078"/>
      <c r="L597" s="74"/>
      <c r="M597" s="74"/>
      <c r="N597" s="74"/>
      <c r="O597" s="74"/>
      <c r="P597" s="74"/>
      <c r="Q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1078"/>
      <c r="L598" s="74"/>
      <c r="M598" s="74"/>
      <c r="N598" s="74"/>
      <c r="O598" s="74"/>
      <c r="P598" s="74"/>
      <c r="Q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1078"/>
      <c r="L599" s="74"/>
      <c r="M599" s="74"/>
      <c r="N599" s="74"/>
      <c r="O599" s="74"/>
      <c r="P599" s="74"/>
      <c r="Q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1078"/>
      <c r="L600" s="74"/>
      <c r="M600" s="74"/>
      <c r="N600" s="74"/>
      <c r="O600" s="74"/>
      <c r="P600" s="74"/>
      <c r="Q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1078"/>
      <c r="L601" s="74"/>
      <c r="M601" s="74"/>
      <c r="N601" s="74"/>
      <c r="O601" s="74"/>
      <c r="P601" s="74"/>
      <c r="Q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1078"/>
      <c r="L602" s="74"/>
      <c r="M602" s="74"/>
      <c r="N602" s="74"/>
      <c r="O602" s="74"/>
      <c r="P602" s="74"/>
      <c r="Q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1078"/>
      <c r="L603" s="74"/>
      <c r="M603" s="74"/>
      <c r="N603" s="74"/>
      <c r="O603" s="74"/>
      <c r="P603" s="74"/>
      <c r="Q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1078"/>
      <c r="L604" s="74"/>
      <c r="M604" s="74"/>
      <c r="N604" s="74"/>
      <c r="O604" s="74"/>
      <c r="P604" s="74"/>
      <c r="Q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1078"/>
      <c r="L605" s="74"/>
      <c r="M605" s="74"/>
      <c r="N605" s="74"/>
      <c r="O605" s="74"/>
      <c r="P605" s="74"/>
      <c r="Q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1078"/>
      <c r="L606" s="74"/>
      <c r="M606" s="74"/>
      <c r="N606" s="74"/>
      <c r="O606" s="74"/>
      <c r="P606" s="74"/>
      <c r="Q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1078"/>
      <c r="L607" s="74"/>
      <c r="M607" s="74"/>
      <c r="N607" s="74"/>
      <c r="O607" s="74"/>
      <c r="P607" s="74"/>
      <c r="Q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1078"/>
      <c r="L608" s="74"/>
      <c r="M608" s="74"/>
      <c r="N608" s="74"/>
      <c r="O608" s="74"/>
      <c r="P608" s="74"/>
      <c r="Q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1078"/>
      <c r="L609" s="74"/>
      <c r="M609" s="74"/>
      <c r="N609" s="74"/>
      <c r="O609" s="74"/>
      <c r="P609" s="74"/>
      <c r="Q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1078"/>
      <c r="L610" s="74"/>
      <c r="M610" s="74"/>
      <c r="N610" s="74"/>
      <c r="O610" s="74"/>
      <c r="P610" s="74"/>
      <c r="Q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1078"/>
      <c r="L611" s="74"/>
      <c r="M611" s="74"/>
      <c r="N611" s="74"/>
      <c r="O611" s="74"/>
      <c r="P611" s="74"/>
      <c r="Q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1078"/>
      <c r="L612" s="74"/>
      <c r="M612" s="74"/>
      <c r="N612" s="74"/>
      <c r="O612" s="74"/>
      <c r="P612" s="74"/>
      <c r="Q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1078"/>
      <c r="L613" s="74"/>
      <c r="M613" s="74"/>
      <c r="N613" s="74"/>
      <c r="O613" s="74"/>
      <c r="P613" s="74"/>
      <c r="Q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1078"/>
      <c r="L614" s="74"/>
      <c r="M614" s="74"/>
      <c r="N614" s="74"/>
      <c r="O614" s="74"/>
      <c r="P614" s="74"/>
      <c r="Q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1078"/>
      <c r="L615" s="74"/>
      <c r="M615" s="74"/>
      <c r="N615" s="74"/>
      <c r="O615" s="74"/>
      <c r="P615" s="74"/>
      <c r="Q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1078"/>
      <c r="L616" s="74"/>
      <c r="M616" s="74"/>
      <c r="N616" s="74"/>
      <c r="O616" s="74"/>
      <c r="P616" s="74"/>
      <c r="Q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1078"/>
      <c r="L617" s="74"/>
      <c r="M617" s="74"/>
      <c r="N617" s="74"/>
      <c r="O617" s="74"/>
      <c r="P617" s="74"/>
      <c r="Q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1078"/>
      <c r="L618" s="74"/>
      <c r="M618" s="74"/>
      <c r="N618" s="74"/>
      <c r="O618" s="74"/>
      <c r="P618" s="74"/>
      <c r="Q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1078"/>
      <c r="L619" s="74"/>
      <c r="M619" s="74"/>
      <c r="N619" s="74"/>
      <c r="O619" s="74"/>
      <c r="P619" s="74"/>
      <c r="Q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1078"/>
      <c r="L620" s="74"/>
      <c r="M620" s="74"/>
      <c r="N620" s="74"/>
      <c r="O620" s="74"/>
      <c r="P620" s="74"/>
      <c r="Q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1078"/>
      <c r="L621" s="74"/>
      <c r="M621" s="74"/>
      <c r="N621" s="74"/>
      <c r="O621" s="74"/>
      <c r="P621" s="74"/>
      <c r="Q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1078"/>
      <c r="L622" s="74"/>
      <c r="M622" s="74"/>
      <c r="N622" s="74"/>
      <c r="O622" s="74"/>
      <c r="P622" s="74"/>
      <c r="Q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1078"/>
      <c r="L623" s="74"/>
      <c r="M623" s="74"/>
      <c r="N623" s="74"/>
      <c r="O623" s="74"/>
      <c r="P623" s="74"/>
      <c r="Q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1078"/>
      <c r="L624" s="74"/>
      <c r="M624" s="74"/>
      <c r="N624" s="74"/>
      <c r="O624" s="74"/>
      <c r="P624" s="74"/>
      <c r="Q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1078"/>
      <c r="L625" s="74"/>
      <c r="M625" s="74"/>
      <c r="N625" s="74"/>
      <c r="O625" s="74"/>
      <c r="P625" s="74"/>
      <c r="Q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1078"/>
      <c r="L626" s="74"/>
      <c r="M626" s="74"/>
      <c r="N626" s="74"/>
      <c r="O626" s="74"/>
      <c r="P626" s="74"/>
      <c r="Q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1078"/>
      <c r="L627" s="74"/>
      <c r="M627" s="74"/>
      <c r="N627" s="74"/>
      <c r="O627" s="74"/>
      <c r="P627" s="74"/>
      <c r="Q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1078"/>
      <c r="L628" s="74"/>
      <c r="M628" s="74"/>
      <c r="N628" s="74"/>
      <c r="O628" s="74"/>
      <c r="P628" s="74"/>
      <c r="Q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1078"/>
      <c r="L629" s="74"/>
      <c r="M629" s="74"/>
      <c r="N629" s="74"/>
      <c r="O629" s="74"/>
      <c r="P629" s="74"/>
      <c r="Q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1078"/>
      <c r="L630" s="74"/>
      <c r="M630" s="74"/>
      <c r="N630" s="74"/>
      <c r="O630" s="74"/>
      <c r="P630" s="74"/>
      <c r="Q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1078"/>
      <c r="L631" s="74"/>
      <c r="M631" s="74"/>
      <c r="N631" s="74"/>
      <c r="O631" s="74"/>
      <c r="P631" s="74"/>
      <c r="Q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1078"/>
      <c r="L632" s="74"/>
      <c r="M632" s="74"/>
      <c r="N632" s="74"/>
      <c r="O632" s="74"/>
      <c r="P632" s="74"/>
      <c r="Q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1078"/>
      <c r="L633" s="74"/>
      <c r="M633" s="74"/>
      <c r="N633" s="74"/>
      <c r="O633" s="74"/>
      <c r="P633" s="74"/>
      <c r="Q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1078"/>
      <c r="L634" s="74"/>
      <c r="M634" s="74"/>
      <c r="N634" s="74"/>
      <c r="O634" s="74"/>
      <c r="P634" s="74"/>
      <c r="Q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1078"/>
      <c r="L635" s="74"/>
      <c r="M635" s="74"/>
      <c r="N635" s="74"/>
      <c r="O635" s="74"/>
      <c r="P635" s="74"/>
      <c r="Q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1078"/>
      <c r="L636" s="74"/>
      <c r="M636" s="74"/>
      <c r="N636" s="74"/>
      <c r="O636" s="74"/>
      <c r="P636" s="74"/>
      <c r="Q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1078"/>
      <c r="L637" s="74"/>
      <c r="M637" s="74"/>
      <c r="N637" s="74"/>
      <c r="O637" s="74"/>
      <c r="P637" s="74"/>
      <c r="Q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1078"/>
      <c r="L638" s="74"/>
      <c r="M638" s="74"/>
      <c r="N638" s="74"/>
      <c r="O638" s="74"/>
      <c r="P638" s="74"/>
      <c r="Q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1078"/>
      <c r="L639" s="74"/>
      <c r="M639" s="74"/>
      <c r="N639" s="74"/>
      <c r="O639" s="74"/>
      <c r="P639" s="74"/>
      <c r="Q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1078"/>
      <c r="L640" s="74"/>
      <c r="M640" s="74"/>
      <c r="N640" s="74"/>
      <c r="O640" s="74"/>
      <c r="P640" s="74"/>
      <c r="Q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1078"/>
      <c r="L641" s="74"/>
      <c r="M641" s="74"/>
      <c r="N641" s="74"/>
      <c r="O641" s="74"/>
      <c r="P641" s="74"/>
      <c r="Q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1078"/>
      <c r="L642" s="74"/>
      <c r="M642" s="74"/>
      <c r="N642" s="74"/>
      <c r="O642" s="74"/>
      <c r="P642" s="74"/>
      <c r="Q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1078"/>
      <c r="L643" s="74"/>
      <c r="M643" s="74"/>
      <c r="N643" s="74"/>
      <c r="O643" s="74"/>
      <c r="P643" s="74"/>
      <c r="Q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1078"/>
      <c r="L644" s="74"/>
      <c r="M644" s="74"/>
      <c r="N644" s="74"/>
      <c r="O644" s="74"/>
      <c r="P644" s="74"/>
      <c r="Q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1078"/>
      <c r="L645" s="74"/>
      <c r="M645" s="74"/>
      <c r="N645" s="74"/>
      <c r="O645" s="74"/>
      <c r="P645" s="74"/>
      <c r="Q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1078"/>
      <c r="L646" s="74"/>
      <c r="M646" s="74"/>
      <c r="N646" s="74"/>
      <c r="O646" s="74"/>
      <c r="P646" s="74"/>
      <c r="Q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1078"/>
      <c r="L647" s="74"/>
      <c r="M647" s="74"/>
      <c r="N647" s="74"/>
      <c r="O647" s="74"/>
      <c r="P647" s="74"/>
      <c r="Q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1078"/>
      <c r="L648" s="74"/>
      <c r="M648" s="74"/>
      <c r="N648" s="74"/>
      <c r="O648" s="74"/>
      <c r="P648" s="74"/>
      <c r="Q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1078"/>
      <c r="L649" s="74"/>
      <c r="M649" s="74"/>
      <c r="N649" s="74"/>
      <c r="O649" s="74"/>
      <c r="P649" s="74"/>
      <c r="Q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1078"/>
      <c r="L650" s="74"/>
      <c r="M650" s="74"/>
      <c r="N650" s="74"/>
      <c r="O650" s="74"/>
      <c r="P650" s="74"/>
      <c r="Q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1078"/>
      <c r="L651" s="74"/>
      <c r="M651" s="74"/>
      <c r="N651" s="74"/>
      <c r="O651" s="74"/>
      <c r="P651" s="74"/>
      <c r="Q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1078"/>
      <c r="L652" s="74"/>
      <c r="M652" s="74"/>
      <c r="N652" s="74"/>
      <c r="O652" s="74"/>
      <c r="P652" s="74"/>
      <c r="Q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1078"/>
      <c r="L653" s="74"/>
      <c r="M653" s="74"/>
      <c r="N653" s="74"/>
      <c r="O653" s="74"/>
      <c r="P653" s="74"/>
      <c r="Q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1078"/>
      <c r="L654" s="74"/>
      <c r="M654" s="74"/>
      <c r="N654" s="74"/>
      <c r="O654" s="74"/>
      <c r="P654" s="74"/>
      <c r="Q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1078"/>
      <c r="L655" s="74"/>
      <c r="M655" s="74"/>
      <c r="N655" s="74"/>
      <c r="O655" s="74"/>
      <c r="P655" s="74"/>
      <c r="Q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1078"/>
      <c r="L656" s="74"/>
      <c r="M656" s="74"/>
      <c r="N656" s="74"/>
      <c r="O656" s="74"/>
      <c r="P656" s="74"/>
      <c r="Q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1078"/>
      <c r="L657" s="74"/>
      <c r="M657" s="74"/>
      <c r="N657" s="74"/>
      <c r="O657" s="74"/>
      <c r="P657" s="74"/>
      <c r="Q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1078"/>
      <c r="L658" s="74"/>
      <c r="M658" s="74"/>
      <c r="N658" s="74"/>
      <c r="O658" s="74"/>
      <c r="P658" s="74"/>
      <c r="Q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1078"/>
      <c r="L659" s="74"/>
      <c r="M659" s="74"/>
      <c r="N659" s="74"/>
      <c r="O659" s="74"/>
      <c r="P659" s="74"/>
      <c r="Q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1078"/>
      <c r="L660" s="74"/>
      <c r="M660" s="74"/>
      <c r="N660" s="74"/>
      <c r="O660" s="74"/>
      <c r="P660" s="74"/>
      <c r="Q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1078"/>
      <c r="L661" s="74"/>
      <c r="M661" s="74"/>
      <c r="N661" s="74"/>
      <c r="O661" s="74"/>
      <c r="P661" s="74"/>
      <c r="Q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1078"/>
      <c r="L662" s="74"/>
      <c r="M662" s="74"/>
      <c r="N662" s="74"/>
      <c r="O662" s="74"/>
      <c r="P662" s="74"/>
      <c r="Q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1078"/>
      <c r="L663" s="74"/>
      <c r="M663" s="74"/>
      <c r="N663" s="74"/>
      <c r="O663" s="74"/>
      <c r="P663" s="74"/>
      <c r="Q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1078"/>
      <c r="L664" s="74"/>
      <c r="M664" s="74"/>
      <c r="N664" s="74"/>
      <c r="O664" s="74"/>
      <c r="P664" s="74"/>
      <c r="Q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1078"/>
      <c r="L665" s="74"/>
      <c r="M665" s="74"/>
      <c r="N665" s="74"/>
      <c r="O665" s="74"/>
      <c r="P665" s="74"/>
      <c r="Q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1078"/>
      <c r="L666" s="74"/>
      <c r="M666" s="74"/>
      <c r="N666" s="74"/>
      <c r="O666" s="74"/>
      <c r="P666" s="74"/>
      <c r="Q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1078"/>
      <c r="L667" s="74"/>
      <c r="M667" s="74"/>
      <c r="N667" s="74"/>
      <c r="O667" s="74"/>
      <c r="P667" s="74"/>
      <c r="Q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1078"/>
      <c r="L668" s="74"/>
      <c r="M668" s="74"/>
      <c r="N668" s="74"/>
      <c r="O668" s="74"/>
      <c r="P668" s="74"/>
      <c r="Q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1078"/>
      <c r="L669" s="74"/>
      <c r="M669" s="74"/>
      <c r="N669" s="74"/>
      <c r="O669" s="74"/>
      <c r="P669" s="74"/>
      <c r="Q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1078"/>
      <c r="L670" s="74"/>
      <c r="M670" s="74"/>
      <c r="N670" s="74"/>
      <c r="O670" s="74"/>
      <c r="P670" s="74"/>
      <c r="Q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1078"/>
      <c r="L671" s="74"/>
      <c r="M671" s="74"/>
      <c r="N671" s="74"/>
      <c r="O671" s="74"/>
      <c r="P671" s="74"/>
      <c r="Q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1078"/>
      <c r="L672" s="74"/>
      <c r="M672" s="74"/>
      <c r="N672" s="74"/>
      <c r="O672" s="74"/>
      <c r="P672" s="74"/>
      <c r="Q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1078"/>
      <c r="L673" s="74"/>
      <c r="M673" s="74"/>
      <c r="N673" s="74"/>
      <c r="O673" s="74"/>
      <c r="P673" s="74"/>
      <c r="Q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1078"/>
      <c r="L674" s="74"/>
      <c r="M674" s="74"/>
      <c r="N674" s="74"/>
      <c r="O674" s="74"/>
      <c r="P674" s="74"/>
      <c r="Q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1078"/>
      <c r="L675" s="74"/>
      <c r="M675" s="74"/>
      <c r="N675" s="74"/>
      <c r="O675" s="74"/>
      <c r="P675" s="74"/>
      <c r="Q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1078"/>
      <c r="L676" s="74"/>
      <c r="M676" s="74"/>
      <c r="N676" s="74"/>
      <c r="O676" s="74"/>
      <c r="P676" s="74"/>
      <c r="Q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1078"/>
      <c r="L677" s="74"/>
      <c r="M677" s="74"/>
      <c r="N677" s="74"/>
      <c r="O677" s="74"/>
      <c r="P677" s="74"/>
      <c r="Q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1078"/>
      <c r="L678" s="74"/>
      <c r="M678" s="74"/>
      <c r="N678" s="74"/>
      <c r="O678" s="74"/>
      <c r="P678" s="74"/>
      <c r="Q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1078"/>
      <c r="L679" s="74"/>
      <c r="M679" s="74"/>
      <c r="N679" s="74"/>
      <c r="O679" s="74"/>
      <c r="P679" s="74"/>
      <c r="Q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1078"/>
      <c r="L680" s="74"/>
      <c r="M680" s="74"/>
      <c r="N680" s="74"/>
      <c r="O680" s="74"/>
      <c r="P680" s="74"/>
      <c r="Q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1078"/>
      <c r="L681" s="74"/>
      <c r="M681" s="74"/>
      <c r="N681" s="74"/>
      <c r="O681" s="74"/>
      <c r="P681" s="74"/>
      <c r="Q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1078"/>
      <c r="L682" s="74"/>
      <c r="M682" s="74"/>
      <c r="N682" s="74"/>
      <c r="O682" s="74"/>
      <c r="P682" s="74"/>
      <c r="Q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1078"/>
      <c r="L683" s="74"/>
      <c r="M683" s="74"/>
      <c r="N683" s="74"/>
      <c r="O683" s="74"/>
      <c r="P683" s="74"/>
      <c r="Q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1078"/>
      <c r="L684" s="74"/>
      <c r="M684" s="74"/>
      <c r="N684" s="74"/>
      <c r="O684" s="74"/>
      <c r="P684" s="74"/>
      <c r="Q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1078"/>
      <c r="L685" s="74"/>
      <c r="M685" s="74"/>
      <c r="N685" s="74"/>
      <c r="O685" s="74"/>
      <c r="P685" s="74"/>
      <c r="Q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1078"/>
      <c r="L686" s="74"/>
      <c r="M686" s="74"/>
      <c r="N686" s="74"/>
      <c r="O686" s="74"/>
      <c r="P686" s="74"/>
      <c r="Q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1078"/>
      <c r="L687" s="74"/>
      <c r="M687" s="74"/>
      <c r="N687" s="74"/>
      <c r="O687" s="74"/>
      <c r="P687" s="74"/>
      <c r="Q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1078"/>
      <c r="L688" s="74"/>
      <c r="M688" s="74"/>
      <c r="N688" s="74"/>
      <c r="O688" s="74"/>
      <c r="P688" s="74"/>
      <c r="Q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1078"/>
      <c r="L689" s="74"/>
      <c r="M689" s="74"/>
      <c r="N689" s="74"/>
      <c r="O689" s="74"/>
      <c r="P689" s="74"/>
      <c r="Q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1078"/>
      <c r="L690" s="74"/>
      <c r="M690" s="74"/>
      <c r="N690" s="74"/>
      <c r="O690" s="74"/>
      <c r="P690" s="74"/>
      <c r="Q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1078"/>
      <c r="L691" s="74"/>
      <c r="M691" s="74"/>
      <c r="N691" s="74"/>
      <c r="O691" s="74"/>
      <c r="P691" s="74"/>
      <c r="Q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1078"/>
      <c r="L692" s="74"/>
      <c r="M692" s="74"/>
      <c r="N692" s="74"/>
      <c r="O692" s="74"/>
      <c r="P692" s="74"/>
      <c r="Q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1078"/>
      <c r="L693" s="74"/>
      <c r="M693" s="74"/>
      <c r="N693" s="74"/>
      <c r="O693" s="74"/>
      <c r="P693" s="74"/>
      <c r="Q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1078"/>
      <c r="L694" s="74"/>
      <c r="M694" s="74"/>
      <c r="N694" s="74"/>
      <c r="O694" s="74"/>
      <c r="P694" s="74"/>
      <c r="Q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1078"/>
      <c r="L695" s="74"/>
      <c r="M695" s="74"/>
      <c r="N695" s="74"/>
      <c r="O695" s="74"/>
      <c r="P695" s="74"/>
      <c r="Q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1078"/>
      <c r="L696" s="74"/>
      <c r="M696" s="74"/>
      <c r="N696" s="74"/>
      <c r="O696" s="74"/>
      <c r="P696" s="74"/>
      <c r="Q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1078"/>
      <c r="L697" s="74"/>
      <c r="M697" s="74"/>
      <c r="N697" s="74"/>
      <c r="O697" s="74"/>
      <c r="P697" s="74"/>
      <c r="Q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1078"/>
      <c r="L698" s="74"/>
      <c r="M698" s="74"/>
      <c r="N698" s="74"/>
      <c r="O698" s="74"/>
      <c r="P698" s="74"/>
      <c r="Q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1078"/>
      <c r="L699" s="74"/>
      <c r="M699" s="74"/>
      <c r="N699" s="74"/>
      <c r="O699" s="74"/>
      <c r="P699" s="74"/>
      <c r="Q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1078"/>
      <c r="L700" s="74"/>
      <c r="M700" s="74"/>
      <c r="N700" s="74"/>
      <c r="O700" s="74"/>
      <c r="P700" s="74"/>
      <c r="Q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1078"/>
      <c r="L701" s="74"/>
      <c r="M701" s="74"/>
      <c r="N701" s="74"/>
      <c r="O701" s="74"/>
      <c r="P701" s="74"/>
      <c r="Q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1078"/>
      <c r="L702" s="74"/>
      <c r="M702" s="74"/>
      <c r="N702" s="74"/>
      <c r="O702" s="74"/>
      <c r="P702" s="74"/>
      <c r="Q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1078"/>
      <c r="L703" s="74"/>
      <c r="M703" s="74"/>
      <c r="N703" s="74"/>
      <c r="O703" s="74"/>
      <c r="P703" s="74"/>
      <c r="Q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1078"/>
      <c r="L704" s="74"/>
      <c r="M704" s="74"/>
      <c r="N704" s="74"/>
      <c r="O704" s="74"/>
      <c r="P704" s="74"/>
      <c r="Q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1078"/>
      <c r="L705" s="74"/>
      <c r="M705" s="74"/>
      <c r="N705" s="74"/>
      <c r="O705" s="74"/>
      <c r="P705" s="74"/>
      <c r="Q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1078"/>
      <c r="L706" s="74"/>
      <c r="M706" s="74"/>
      <c r="N706" s="74"/>
      <c r="O706" s="74"/>
      <c r="P706" s="74"/>
      <c r="Q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1078"/>
      <c r="L707" s="74"/>
      <c r="M707" s="74"/>
      <c r="N707" s="74"/>
      <c r="O707" s="74"/>
      <c r="P707" s="74"/>
      <c r="Q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1078"/>
      <c r="L708" s="74"/>
      <c r="M708" s="74"/>
      <c r="N708" s="74"/>
      <c r="O708" s="74"/>
      <c r="P708" s="74"/>
      <c r="Q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1078"/>
      <c r="L709" s="74"/>
      <c r="M709" s="74"/>
      <c r="N709" s="74"/>
      <c r="O709" s="74"/>
      <c r="P709" s="74"/>
      <c r="Q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1078"/>
      <c r="L710" s="74"/>
      <c r="M710" s="74"/>
      <c r="N710" s="74"/>
      <c r="O710" s="74"/>
      <c r="P710" s="74"/>
      <c r="Q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1078"/>
      <c r="L711" s="74"/>
      <c r="M711" s="74"/>
      <c r="N711" s="74"/>
      <c r="O711" s="74"/>
      <c r="P711" s="74"/>
      <c r="Q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1078"/>
      <c r="L712" s="74"/>
      <c r="M712" s="74"/>
      <c r="N712" s="74"/>
      <c r="O712" s="74"/>
      <c r="P712" s="74"/>
      <c r="Q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1078"/>
      <c r="L713" s="74"/>
      <c r="M713" s="74"/>
      <c r="N713" s="74"/>
      <c r="O713" s="74"/>
      <c r="P713" s="74"/>
      <c r="Q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1078"/>
      <c r="L714" s="74"/>
      <c r="M714" s="74"/>
      <c r="N714" s="74"/>
      <c r="O714" s="74"/>
      <c r="P714" s="74"/>
      <c r="Q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1078"/>
      <c r="L715" s="74"/>
      <c r="M715" s="74"/>
      <c r="N715" s="74"/>
      <c r="O715" s="74"/>
      <c r="P715" s="74"/>
      <c r="Q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1078"/>
      <c r="L716" s="74"/>
      <c r="M716" s="74"/>
      <c r="N716" s="74"/>
      <c r="O716" s="74"/>
      <c r="P716" s="74"/>
      <c r="Q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1078"/>
      <c r="L717" s="74"/>
      <c r="M717" s="74"/>
      <c r="N717" s="74"/>
      <c r="O717" s="74"/>
      <c r="P717" s="74"/>
      <c r="Q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1078"/>
      <c r="L718" s="74"/>
      <c r="M718" s="74"/>
      <c r="N718" s="74"/>
      <c r="O718" s="74"/>
      <c r="P718" s="74"/>
      <c r="Q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1078"/>
      <c r="L719" s="74"/>
      <c r="M719" s="74"/>
      <c r="N719" s="74"/>
      <c r="O719" s="74"/>
      <c r="P719" s="74"/>
      <c r="Q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1078"/>
      <c r="L720" s="74"/>
      <c r="M720" s="74"/>
      <c r="N720" s="74"/>
      <c r="O720" s="74"/>
      <c r="P720" s="74"/>
      <c r="Q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1078"/>
      <c r="L721" s="74"/>
      <c r="M721" s="74"/>
      <c r="N721" s="74"/>
      <c r="O721" s="74"/>
      <c r="P721" s="74"/>
      <c r="Q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1078"/>
      <c r="L722" s="74"/>
      <c r="M722" s="74"/>
      <c r="N722" s="74"/>
      <c r="O722" s="74"/>
      <c r="P722" s="74"/>
      <c r="Q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1078"/>
      <c r="L723" s="74"/>
      <c r="M723" s="74"/>
      <c r="N723" s="74"/>
      <c r="O723" s="74"/>
      <c r="P723" s="74"/>
      <c r="Q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1078"/>
      <c r="L724" s="74"/>
      <c r="M724" s="74"/>
      <c r="N724" s="74"/>
      <c r="O724" s="74"/>
      <c r="P724" s="74"/>
      <c r="Q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1078"/>
      <c r="L725" s="74"/>
      <c r="M725" s="74"/>
      <c r="N725" s="74"/>
      <c r="O725" s="74"/>
      <c r="P725" s="74"/>
      <c r="Q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1078"/>
      <c r="L726" s="74"/>
      <c r="M726" s="74"/>
      <c r="N726" s="74"/>
      <c r="O726" s="74"/>
      <c r="P726" s="74"/>
      <c r="Q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1078"/>
      <c r="L727" s="74"/>
      <c r="M727" s="74"/>
      <c r="N727" s="74"/>
      <c r="O727" s="74"/>
      <c r="P727" s="74"/>
      <c r="Q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1078"/>
      <c r="L728" s="74"/>
      <c r="M728" s="74"/>
      <c r="N728" s="74"/>
      <c r="O728" s="74"/>
      <c r="P728" s="74"/>
      <c r="Q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1078"/>
      <c r="L729" s="74"/>
      <c r="M729" s="74"/>
      <c r="N729" s="74"/>
      <c r="O729" s="74"/>
      <c r="P729" s="74"/>
      <c r="Q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1078"/>
      <c r="L730" s="74"/>
      <c r="M730" s="74"/>
      <c r="N730" s="74"/>
      <c r="O730" s="74"/>
      <c r="P730" s="74"/>
      <c r="Q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1078"/>
      <c r="L731" s="74"/>
      <c r="M731" s="74"/>
      <c r="N731" s="74"/>
      <c r="O731" s="74"/>
      <c r="P731" s="74"/>
      <c r="Q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1078"/>
      <c r="L732" s="74"/>
      <c r="M732" s="74"/>
      <c r="N732" s="74"/>
      <c r="O732" s="74"/>
      <c r="P732" s="74"/>
      <c r="Q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1078"/>
      <c r="L733" s="74"/>
      <c r="M733" s="74"/>
      <c r="N733" s="74"/>
      <c r="O733" s="74"/>
      <c r="P733" s="74"/>
      <c r="Q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1078"/>
      <c r="L734" s="74"/>
      <c r="M734" s="74"/>
      <c r="N734" s="74"/>
      <c r="O734" s="74"/>
      <c r="P734" s="74"/>
      <c r="Q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1078"/>
      <c r="L735" s="74"/>
      <c r="M735" s="74"/>
      <c r="N735" s="74"/>
      <c r="O735" s="74"/>
      <c r="P735" s="74"/>
      <c r="Q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1078"/>
      <c r="L736" s="74"/>
      <c r="M736" s="74"/>
      <c r="N736" s="74"/>
      <c r="O736" s="74"/>
      <c r="P736" s="74"/>
      <c r="Q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1078"/>
      <c r="L737" s="74"/>
      <c r="M737" s="74"/>
      <c r="N737" s="74"/>
      <c r="O737" s="74"/>
      <c r="P737" s="74"/>
      <c r="Q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1078"/>
      <c r="L738" s="74"/>
      <c r="M738" s="74"/>
      <c r="N738" s="74"/>
      <c r="O738" s="74"/>
      <c r="P738" s="74"/>
      <c r="Q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1078"/>
      <c r="L739" s="74"/>
      <c r="M739" s="74"/>
      <c r="N739" s="74"/>
      <c r="O739" s="74"/>
      <c r="P739" s="74"/>
      <c r="Q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1078"/>
      <c r="L740" s="74"/>
      <c r="M740" s="74"/>
      <c r="N740" s="74"/>
      <c r="O740" s="74"/>
      <c r="P740" s="74"/>
      <c r="Q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1078"/>
      <c r="L741" s="74"/>
      <c r="M741" s="74"/>
      <c r="N741" s="74"/>
      <c r="O741" s="74"/>
      <c r="P741" s="74"/>
      <c r="Q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1078"/>
      <c r="L742" s="74"/>
      <c r="M742" s="74"/>
      <c r="N742" s="74"/>
      <c r="O742" s="74"/>
      <c r="P742" s="74"/>
      <c r="Q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1078"/>
      <c r="L743" s="74"/>
      <c r="M743" s="74"/>
      <c r="N743" s="74"/>
      <c r="O743" s="74"/>
      <c r="P743" s="74"/>
      <c r="Q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1078"/>
      <c r="L744" s="74"/>
      <c r="M744" s="74"/>
      <c r="N744" s="74"/>
      <c r="O744" s="74"/>
      <c r="P744" s="74"/>
      <c r="Q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1078"/>
      <c r="L745" s="74"/>
      <c r="M745" s="74"/>
      <c r="N745" s="74"/>
      <c r="O745" s="74"/>
      <c r="P745" s="74"/>
      <c r="Q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1078"/>
      <c r="L746" s="74"/>
      <c r="M746" s="74"/>
      <c r="N746" s="74"/>
      <c r="O746" s="74"/>
      <c r="P746" s="74"/>
      <c r="Q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1078"/>
      <c r="L747" s="74"/>
      <c r="M747" s="74"/>
      <c r="N747" s="74"/>
      <c r="O747" s="74"/>
      <c r="P747" s="74"/>
      <c r="Q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1078"/>
      <c r="L748" s="74"/>
      <c r="M748" s="74"/>
      <c r="N748" s="74"/>
      <c r="O748" s="74"/>
      <c r="P748" s="74"/>
      <c r="Q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1078"/>
      <c r="L749" s="74"/>
      <c r="M749" s="74"/>
      <c r="N749" s="74"/>
      <c r="O749" s="74"/>
      <c r="P749" s="74"/>
      <c r="Q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1078"/>
      <c r="L750" s="74"/>
      <c r="M750" s="74"/>
      <c r="N750" s="74"/>
      <c r="O750" s="74"/>
      <c r="P750" s="74"/>
      <c r="Q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1078"/>
      <c r="L751" s="74"/>
      <c r="M751" s="74"/>
      <c r="N751" s="74"/>
      <c r="O751" s="74"/>
      <c r="P751" s="74"/>
      <c r="Q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1078"/>
      <c r="L752" s="74"/>
      <c r="M752" s="74"/>
      <c r="N752" s="74"/>
      <c r="O752" s="74"/>
      <c r="P752" s="74"/>
      <c r="Q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1078"/>
      <c r="L753" s="74"/>
      <c r="M753" s="74"/>
      <c r="N753" s="74"/>
      <c r="O753" s="74"/>
      <c r="P753" s="74"/>
      <c r="Q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1078"/>
      <c r="L754" s="74"/>
      <c r="M754" s="74"/>
      <c r="N754" s="74"/>
      <c r="O754" s="74"/>
      <c r="P754" s="74"/>
      <c r="Q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1078"/>
      <c r="L755" s="74"/>
      <c r="M755" s="74"/>
      <c r="N755" s="74"/>
      <c r="O755" s="74"/>
      <c r="P755" s="74"/>
      <c r="Q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1078"/>
      <c r="L756" s="74"/>
      <c r="M756" s="74"/>
      <c r="N756" s="74"/>
      <c r="O756" s="74"/>
      <c r="P756" s="74"/>
      <c r="Q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1078"/>
      <c r="L757" s="74"/>
      <c r="M757" s="74"/>
      <c r="N757" s="74"/>
      <c r="O757" s="74"/>
      <c r="P757" s="74"/>
      <c r="Q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1078"/>
      <c r="L758" s="74"/>
      <c r="M758" s="74"/>
      <c r="N758" s="74"/>
      <c r="O758" s="74"/>
      <c r="P758" s="74"/>
      <c r="Q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1078"/>
      <c r="L759" s="74"/>
      <c r="M759" s="74"/>
      <c r="N759" s="74"/>
      <c r="O759" s="74"/>
      <c r="P759" s="74"/>
      <c r="Q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1078"/>
      <c r="L760" s="74"/>
      <c r="M760" s="74"/>
      <c r="N760" s="74"/>
      <c r="O760" s="74"/>
      <c r="P760" s="74"/>
      <c r="Q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1078"/>
      <c r="L761" s="74"/>
      <c r="M761" s="74"/>
      <c r="N761" s="74"/>
      <c r="O761" s="74"/>
      <c r="P761" s="74"/>
      <c r="Q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1078"/>
      <c r="L762" s="74"/>
      <c r="M762" s="74"/>
      <c r="N762" s="74"/>
      <c r="O762" s="74"/>
      <c r="P762" s="74"/>
      <c r="Q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1078"/>
      <c r="L763" s="74"/>
      <c r="M763" s="74"/>
      <c r="N763" s="74"/>
      <c r="O763" s="74"/>
      <c r="P763" s="74"/>
      <c r="Q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1078"/>
      <c r="L764" s="74"/>
      <c r="M764" s="74"/>
      <c r="N764" s="74"/>
      <c r="O764" s="74"/>
      <c r="P764" s="74"/>
      <c r="Q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1078"/>
      <c r="L765" s="74"/>
      <c r="M765" s="74"/>
      <c r="N765" s="74"/>
      <c r="O765" s="74"/>
      <c r="P765" s="74"/>
      <c r="Q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1078"/>
      <c r="L766" s="74"/>
      <c r="M766" s="74"/>
      <c r="N766" s="74"/>
      <c r="O766" s="74"/>
      <c r="P766" s="74"/>
      <c r="Q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1078"/>
      <c r="L767" s="74"/>
      <c r="M767" s="74"/>
      <c r="N767" s="74"/>
      <c r="O767" s="74"/>
      <c r="P767" s="74"/>
      <c r="Q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1078"/>
      <c r="L768" s="74"/>
      <c r="M768" s="74"/>
      <c r="N768" s="74"/>
      <c r="O768" s="74"/>
      <c r="P768" s="74"/>
      <c r="Q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1078"/>
      <c r="L769" s="74"/>
      <c r="M769" s="74"/>
      <c r="N769" s="74"/>
      <c r="O769" s="74"/>
      <c r="P769" s="74"/>
      <c r="Q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1078"/>
      <c r="L770" s="74"/>
      <c r="M770" s="74"/>
      <c r="N770" s="74"/>
      <c r="O770" s="74"/>
      <c r="P770" s="74"/>
      <c r="Q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1078"/>
      <c r="L771" s="74"/>
      <c r="M771" s="74"/>
      <c r="N771" s="74"/>
      <c r="O771" s="74"/>
      <c r="P771" s="74"/>
      <c r="Q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1078"/>
      <c r="L772" s="74"/>
      <c r="M772" s="74"/>
      <c r="N772" s="74"/>
      <c r="O772" s="74"/>
      <c r="P772" s="74"/>
      <c r="Q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1078"/>
      <c r="L773" s="74"/>
      <c r="M773" s="74"/>
      <c r="N773" s="74"/>
      <c r="O773" s="74"/>
      <c r="P773" s="74"/>
      <c r="Q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1078"/>
      <c r="L774" s="74"/>
      <c r="M774" s="74"/>
      <c r="N774" s="74"/>
      <c r="O774" s="74"/>
      <c r="P774" s="74"/>
      <c r="Q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1078"/>
      <c r="L775" s="74"/>
      <c r="M775" s="74"/>
      <c r="N775" s="74"/>
      <c r="O775" s="74"/>
      <c r="P775" s="74"/>
      <c r="Q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1078"/>
      <c r="L776" s="74"/>
      <c r="M776" s="74"/>
      <c r="N776" s="74"/>
      <c r="O776" s="74"/>
      <c r="P776" s="74"/>
      <c r="Q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1078"/>
      <c r="L777" s="74"/>
      <c r="M777" s="74"/>
      <c r="N777" s="74"/>
      <c r="O777" s="74"/>
      <c r="P777" s="74"/>
      <c r="Q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1078"/>
      <c r="L778" s="74"/>
      <c r="M778" s="74"/>
      <c r="N778" s="74"/>
      <c r="O778" s="74"/>
      <c r="P778" s="74"/>
      <c r="Q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1078"/>
      <c r="L779" s="74"/>
      <c r="M779" s="74"/>
      <c r="N779" s="74"/>
      <c r="O779" s="74"/>
      <c r="P779" s="74"/>
      <c r="Q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1078"/>
      <c r="L780" s="74"/>
      <c r="M780" s="74"/>
      <c r="N780" s="74"/>
      <c r="O780" s="74"/>
      <c r="P780" s="74"/>
      <c r="Q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1078"/>
      <c r="L781" s="74"/>
      <c r="M781" s="74"/>
      <c r="N781" s="74"/>
      <c r="O781" s="74"/>
      <c r="P781" s="74"/>
      <c r="Q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1078"/>
      <c r="L782" s="74"/>
      <c r="M782" s="74"/>
      <c r="N782" s="74"/>
      <c r="O782" s="74"/>
      <c r="P782" s="74"/>
      <c r="Q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1078"/>
      <c r="L783" s="74"/>
      <c r="M783" s="74"/>
      <c r="N783" s="74"/>
      <c r="O783" s="74"/>
      <c r="P783" s="74"/>
      <c r="Q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1078"/>
      <c r="L784" s="74"/>
      <c r="M784" s="74"/>
      <c r="N784" s="74"/>
      <c r="O784" s="74"/>
      <c r="P784" s="74"/>
      <c r="Q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1078"/>
      <c r="L785" s="74"/>
      <c r="M785" s="74"/>
      <c r="N785" s="74"/>
      <c r="O785" s="74"/>
      <c r="P785" s="74"/>
      <c r="Q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1078"/>
      <c r="L786" s="74"/>
      <c r="M786" s="74"/>
      <c r="N786" s="74"/>
      <c r="O786" s="74"/>
      <c r="P786" s="74"/>
      <c r="Q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1078"/>
      <c r="L787" s="74"/>
      <c r="M787" s="74"/>
      <c r="N787" s="74"/>
      <c r="O787" s="74"/>
      <c r="P787" s="74"/>
      <c r="Q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1078"/>
      <c r="L788" s="74"/>
      <c r="M788" s="74"/>
      <c r="N788" s="74"/>
      <c r="O788" s="74"/>
      <c r="P788" s="74"/>
      <c r="Q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1078"/>
      <c r="L789" s="74"/>
      <c r="M789" s="74"/>
      <c r="N789" s="74"/>
      <c r="O789" s="74"/>
      <c r="P789" s="74"/>
      <c r="Q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1078"/>
      <c r="L790" s="74"/>
      <c r="M790" s="74"/>
      <c r="N790" s="74"/>
      <c r="O790" s="74"/>
      <c r="P790" s="74"/>
      <c r="Q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1078"/>
      <c r="L791" s="74"/>
      <c r="M791" s="74"/>
      <c r="N791" s="74"/>
      <c r="O791" s="74"/>
      <c r="P791" s="74"/>
      <c r="Q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1078"/>
      <c r="L792" s="74"/>
      <c r="M792" s="74"/>
      <c r="N792" s="74"/>
      <c r="O792" s="74"/>
      <c r="P792" s="74"/>
      <c r="Q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1078"/>
      <c r="L793" s="74"/>
      <c r="M793" s="74"/>
      <c r="N793" s="74"/>
      <c r="O793" s="74"/>
      <c r="P793" s="74"/>
      <c r="Q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1078"/>
      <c r="L794" s="74"/>
      <c r="M794" s="74"/>
      <c r="N794" s="74"/>
      <c r="O794" s="74"/>
      <c r="P794" s="74"/>
      <c r="Q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1078"/>
      <c r="L795" s="74"/>
      <c r="M795" s="74"/>
      <c r="N795" s="74"/>
      <c r="O795" s="74"/>
      <c r="P795" s="74"/>
      <c r="Q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1078"/>
      <c r="L796" s="74"/>
      <c r="M796" s="74"/>
      <c r="N796" s="74"/>
      <c r="O796" s="74"/>
      <c r="P796" s="74"/>
      <c r="Q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1078"/>
      <c r="L797" s="74"/>
      <c r="M797" s="74"/>
      <c r="N797" s="74"/>
      <c r="O797" s="74"/>
      <c r="P797" s="74"/>
      <c r="Q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1078"/>
      <c r="L798" s="74"/>
      <c r="M798" s="74"/>
      <c r="N798" s="74"/>
      <c r="O798" s="74"/>
      <c r="P798" s="74"/>
      <c r="Q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1078"/>
      <c r="L799" s="74"/>
      <c r="M799" s="74"/>
      <c r="N799" s="74"/>
      <c r="O799" s="74"/>
      <c r="P799" s="74"/>
      <c r="Q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1078"/>
      <c r="L800" s="74"/>
      <c r="M800" s="74"/>
      <c r="N800" s="74"/>
      <c r="O800" s="74"/>
      <c r="P800" s="74"/>
      <c r="Q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1078"/>
      <c r="L801" s="74"/>
      <c r="M801" s="74"/>
      <c r="N801" s="74"/>
      <c r="O801" s="74"/>
      <c r="P801" s="74"/>
      <c r="Q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1078"/>
      <c r="L802" s="74"/>
      <c r="M802" s="74"/>
      <c r="N802" s="74"/>
      <c r="O802" s="74"/>
      <c r="P802" s="74"/>
      <c r="Q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1078"/>
      <c r="L803" s="74"/>
      <c r="M803" s="74"/>
      <c r="N803" s="74"/>
      <c r="O803" s="74"/>
      <c r="P803" s="74"/>
      <c r="Q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1078"/>
      <c r="L804" s="74"/>
      <c r="M804" s="74"/>
      <c r="N804" s="74"/>
      <c r="O804" s="74"/>
      <c r="P804" s="74"/>
      <c r="Q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1078"/>
      <c r="L805" s="74"/>
      <c r="M805" s="74"/>
      <c r="N805" s="74"/>
      <c r="O805" s="74"/>
      <c r="P805" s="74"/>
      <c r="Q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1078"/>
      <c r="L806" s="74"/>
      <c r="M806" s="74"/>
      <c r="N806" s="74"/>
      <c r="O806" s="74"/>
      <c r="P806" s="74"/>
      <c r="Q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1078"/>
      <c r="L807" s="74"/>
      <c r="M807" s="74"/>
      <c r="N807" s="74"/>
      <c r="O807" s="74"/>
      <c r="P807" s="74"/>
      <c r="Q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1078"/>
      <c r="L808" s="74"/>
      <c r="M808" s="74"/>
      <c r="N808" s="74"/>
      <c r="O808" s="74"/>
      <c r="P808" s="74"/>
      <c r="Q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1078"/>
      <c r="L809" s="74"/>
      <c r="M809" s="74"/>
      <c r="N809" s="74"/>
      <c r="O809" s="74"/>
      <c r="P809" s="74"/>
      <c r="Q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1078"/>
      <c r="L810" s="74"/>
      <c r="M810" s="74"/>
      <c r="N810" s="74"/>
      <c r="O810" s="74"/>
      <c r="P810" s="74"/>
      <c r="Q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1078"/>
      <c r="L811" s="74"/>
      <c r="M811" s="74"/>
      <c r="N811" s="74"/>
      <c r="O811" s="74"/>
      <c r="P811" s="74"/>
      <c r="Q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1078"/>
      <c r="L812" s="74"/>
      <c r="M812" s="74"/>
      <c r="N812" s="74"/>
      <c r="O812" s="74"/>
      <c r="P812" s="74"/>
      <c r="Q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1078"/>
      <c r="L813" s="74"/>
      <c r="M813" s="74"/>
      <c r="N813" s="74"/>
      <c r="O813" s="74"/>
      <c r="P813" s="74"/>
      <c r="Q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1078"/>
      <c r="L814" s="74"/>
      <c r="M814" s="74"/>
      <c r="N814" s="74"/>
      <c r="O814" s="74"/>
      <c r="P814" s="74"/>
      <c r="Q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1078"/>
      <c r="L815" s="74"/>
      <c r="M815" s="74"/>
      <c r="N815" s="74"/>
      <c r="O815" s="74"/>
      <c r="P815" s="74"/>
      <c r="Q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1078"/>
      <c r="L816" s="74"/>
      <c r="M816" s="74"/>
      <c r="N816" s="74"/>
      <c r="O816" s="74"/>
      <c r="P816" s="74"/>
      <c r="Q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1078"/>
      <c r="L817" s="74"/>
      <c r="M817" s="74"/>
      <c r="N817" s="74"/>
      <c r="O817" s="74"/>
      <c r="P817" s="74"/>
      <c r="Q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1078"/>
      <c r="L818" s="74"/>
      <c r="M818" s="74"/>
      <c r="N818" s="74"/>
      <c r="O818" s="74"/>
      <c r="P818" s="74"/>
      <c r="Q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1078"/>
      <c r="L819" s="74"/>
      <c r="M819" s="74"/>
      <c r="N819" s="74"/>
      <c r="O819" s="74"/>
      <c r="P819" s="74"/>
      <c r="Q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1078"/>
      <c r="L820" s="74"/>
      <c r="M820" s="74"/>
      <c r="N820" s="74"/>
      <c r="O820" s="74"/>
      <c r="P820" s="74"/>
      <c r="Q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1078"/>
      <c r="L821" s="74"/>
      <c r="M821" s="74"/>
      <c r="N821" s="74"/>
      <c r="O821" s="74"/>
      <c r="P821" s="74"/>
      <c r="Q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1078"/>
      <c r="L822" s="74"/>
      <c r="M822" s="74"/>
      <c r="N822" s="74"/>
      <c r="O822" s="74"/>
      <c r="P822" s="74"/>
      <c r="Q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1078"/>
      <c r="L823" s="74"/>
      <c r="M823" s="74"/>
      <c r="N823" s="74"/>
      <c r="O823" s="74"/>
      <c r="P823" s="74"/>
      <c r="Q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1078"/>
      <c r="L824" s="74"/>
      <c r="M824" s="74"/>
      <c r="N824" s="74"/>
      <c r="O824" s="74"/>
      <c r="P824" s="74"/>
      <c r="Q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1078"/>
      <c r="L825" s="74"/>
      <c r="M825" s="74"/>
      <c r="N825" s="74"/>
      <c r="O825" s="74"/>
      <c r="P825" s="74"/>
      <c r="Q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1078"/>
      <c r="L826" s="74"/>
      <c r="M826" s="74"/>
      <c r="N826" s="74"/>
      <c r="O826" s="74"/>
      <c r="P826" s="74"/>
      <c r="Q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1078"/>
      <c r="L827" s="74"/>
      <c r="M827" s="74"/>
      <c r="N827" s="74"/>
      <c r="O827" s="74"/>
      <c r="P827" s="74"/>
      <c r="Q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1078"/>
      <c r="L828" s="74"/>
      <c r="M828" s="74"/>
      <c r="N828" s="74"/>
      <c r="O828" s="74"/>
      <c r="P828" s="74"/>
      <c r="Q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1078"/>
      <c r="L829" s="74"/>
      <c r="M829" s="74"/>
      <c r="N829" s="74"/>
      <c r="O829" s="74"/>
      <c r="P829" s="74"/>
      <c r="Q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1078"/>
      <c r="L830" s="74"/>
      <c r="M830" s="74"/>
      <c r="N830" s="74"/>
      <c r="O830" s="74"/>
      <c r="P830" s="74"/>
      <c r="Q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1078"/>
      <c r="L831" s="74"/>
      <c r="M831" s="74"/>
      <c r="N831" s="74"/>
      <c r="O831" s="74"/>
      <c r="P831" s="74"/>
      <c r="Q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1078"/>
      <c r="L832" s="74"/>
      <c r="M832" s="74"/>
      <c r="N832" s="74"/>
      <c r="O832" s="74"/>
      <c r="P832" s="74"/>
      <c r="Q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1078"/>
      <c r="L833" s="74"/>
      <c r="M833" s="74"/>
      <c r="N833" s="74"/>
      <c r="O833" s="74"/>
      <c r="P833" s="74"/>
      <c r="Q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1078"/>
      <c r="L834" s="74"/>
      <c r="M834" s="74"/>
      <c r="N834" s="74"/>
      <c r="O834" s="74"/>
      <c r="P834" s="74"/>
      <c r="Q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1078"/>
      <c r="L835" s="74"/>
      <c r="M835" s="74"/>
      <c r="N835" s="74"/>
      <c r="O835" s="74"/>
      <c r="P835" s="74"/>
      <c r="Q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1078"/>
      <c r="L836" s="74"/>
      <c r="M836" s="74"/>
      <c r="N836" s="74"/>
      <c r="O836" s="74"/>
      <c r="P836" s="74"/>
      <c r="Q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1078"/>
      <c r="L837" s="74"/>
      <c r="M837" s="74"/>
      <c r="N837" s="74"/>
      <c r="O837" s="74"/>
      <c r="P837" s="74"/>
      <c r="Q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1078"/>
      <c r="L838" s="74"/>
      <c r="M838" s="74"/>
      <c r="N838" s="74"/>
      <c r="O838" s="74"/>
      <c r="P838" s="74"/>
      <c r="Q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1078"/>
      <c r="L839" s="74"/>
      <c r="M839" s="74"/>
      <c r="N839" s="74"/>
      <c r="O839" s="74"/>
      <c r="P839" s="74"/>
      <c r="Q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1078"/>
      <c r="L840" s="74"/>
      <c r="M840" s="74"/>
      <c r="N840" s="74"/>
      <c r="O840" s="74"/>
      <c r="P840" s="74"/>
      <c r="Q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1078"/>
      <c r="L841" s="74"/>
      <c r="M841" s="74"/>
      <c r="N841" s="74"/>
      <c r="O841" s="74"/>
      <c r="P841" s="74"/>
      <c r="Q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1078"/>
      <c r="L842" s="74"/>
      <c r="M842" s="74"/>
      <c r="N842" s="74"/>
      <c r="O842" s="74"/>
      <c r="P842" s="74"/>
      <c r="Q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1078"/>
      <c r="L843" s="74"/>
      <c r="M843" s="74"/>
      <c r="N843" s="74"/>
      <c r="O843" s="74"/>
      <c r="P843" s="74"/>
      <c r="Q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1078"/>
      <c r="L844" s="74"/>
      <c r="M844" s="74"/>
      <c r="N844" s="74"/>
      <c r="O844" s="74"/>
      <c r="P844" s="74"/>
      <c r="Q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1078"/>
      <c r="L845" s="74"/>
      <c r="M845" s="74"/>
      <c r="N845" s="74"/>
      <c r="O845" s="74"/>
      <c r="P845" s="74"/>
      <c r="Q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1078"/>
      <c r="L846" s="74"/>
      <c r="M846" s="74"/>
      <c r="N846" s="74"/>
      <c r="O846" s="74"/>
      <c r="P846" s="74"/>
      <c r="Q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1078"/>
      <c r="L847" s="74"/>
      <c r="M847" s="74"/>
      <c r="N847" s="74"/>
      <c r="O847" s="74"/>
      <c r="P847" s="74"/>
      <c r="Q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1078"/>
      <c r="L848" s="74"/>
      <c r="M848" s="74"/>
      <c r="N848" s="74"/>
      <c r="O848" s="74"/>
      <c r="P848" s="74"/>
      <c r="Q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1078"/>
      <c r="L849" s="74"/>
      <c r="M849" s="74"/>
      <c r="N849" s="74"/>
      <c r="O849" s="74"/>
      <c r="P849" s="74"/>
      <c r="Q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1078"/>
      <c r="L850" s="74"/>
      <c r="M850" s="74"/>
      <c r="N850" s="74"/>
      <c r="O850" s="74"/>
      <c r="P850" s="74"/>
      <c r="Q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1078"/>
      <c r="L851" s="74"/>
      <c r="M851" s="74"/>
      <c r="N851" s="74"/>
      <c r="O851" s="74"/>
      <c r="P851" s="74"/>
      <c r="Q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1078"/>
      <c r="L852" s="74"/>
      <c r="M852" s="74"/>
      <c r="N852" s="74"/>
      <c r="O852" s="74"/>
      <c r="P852" s="74"/>
      <c r="Q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1078"/>
      <c r="L853" s="74"/>
      <c r="M853" s="74"/>
      <c r="N853" s="74"/>
      <c r="O853" s="74"/>
      <c r="P853" s="74"/>
      <c r="Q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1078"/>
      <c r="L854" s="74"/>
      <c r="M854" s="74"/>
      <c r="N854" s="74"/>
      <c r="O854" s="74"/>
      <c r="P854" s="74"/>
      <c r="Q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1078"/>
      <c r="L855" s="74"/>
      <c r="M855" s="74"/>
      <c r="N855" s="74"/>
      <c r="O855" s="74"/>
      <c r="P855" s="74"/>
      <c r="Q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1078"/>
      <c r="L856" s="74"/>
      <c r="M856" s="74"/>
      <c r="N856" s="74"/>
      <c r="O856" s="74"/>
      <c r="P856" s="74"/>
      <c r="Q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1078"/>
      <c r="L857" s="74"/>
      <c r="M857" s="74"/>
      <c r="N857" s="74"/>
      <c r="O857" s="74"/>
      <c r="P857" s="74"/>
      <c r="Q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1078"/>
      <c r="L858" s="74"/>
      <c r="M858" s="74"/>
      <c r="N858" s="74"/>
      <c r="O858" s="74"/>
      <c r="P858" s="74"/>
      <c r="Q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1078"/>
      <c r="L859" s="74"/>
      <c r="M859" s="74"/>
      <c r="N859" s="74"/>
      <c r="O859" s="74"/>
      <c r="P859" s="74"/>
      <c r="Q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1078"/>
      <c r="L860" s="74"/>
      <c r="M860" s="74"/>
      <c r="N860" s="74"/>
      <c r="O860" s="74"/>
      <c r="P860" s="74"/>
      <c r="Q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1078"/>
      <c r="L861" s="74"/>
      <c r="M861" s="74"/>
      <c r="N861" s="74"/>
      <c r="O861" s="74"/>
      <c r="P861" s="74"/>
      <c r="Q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1078"/>
      <c r="L862" s="74"/>
      <c r="M862" s="74"/>
      <c r="N862" s="74"/>
      <c r="O862" s="74"/>
      <c r="P862" s="74"/>
      <c r="Q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1078"/>
      <c r="L863" s="74"/>
      <c r="M863" s="74"/>
      <c r="N863" s="74"/>
      <c r="O863" s="74"/>
      <c r="P863" s="74"/>
      <c r="Q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1078"/>
      <c r="L864" s="74"/>
      <c r="M864" s="74"/>
      <c r="N864" s="74"/>
      <c r="O864" s="74"/>
      <c r="P864" s="74"/>
      <c r="Q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1078"/>
      <c r="L865" s="74"/>
      <c r="M865" s="74"/>
      <c r="N865" s="74"/>
      <c r="O865" s="74"/>
      <c r="P865" s="74"/>
      <c r="Q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1078"/>
      <c r="L866" s="74"/>
      <c r="M866" s="74"/>
      <c r="N866" s="74"/>
      <c r="O866" s="74"/>
      <c r="P866" s="74"/>
      <c r="Q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1078"/>
      <c r="L867" s="74"/>
      <c r="M867" s="74"/>
      <c r="N867" s="74"/>
      <c r="O867" s="74"/>
      <c r="P867" s="74"/>
      <c r="Q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1078"/>
      <c r="L868" s="74"/>
      <c r="M868" s="74"/>
      <c r="N868" s="74"/>
      <c r="O868" s="74"/>
      <c r="P868" s="74"/>
      <c r="Q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1078"/>
      <c r="L869" s="74"/>
      <c r="M869" s="74"/>
      <c r="N869" s="74"/>
      <c r="O869" s="74"/>
      <c r="P869" s="74"/>
      <c r="Q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1078"/>
      <c r="L870" s="74"/>
      <c r="M870" s="74"/>
      <c r="N870" s="74"/>
      <c r="O870" s="74"/>
      <c r="P870" s="74"/>
      <c r="Q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1078"/>
      <c r="L871" s="74"/>
      <c r="M871" s="74"/>
      <c r="N871" s="74"/>
      <c r="O871" s="74"/>
      <c r="P871" s="74"/>
      <c r="Q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1078"/>
      <c r="L872" s="74"/>
      <c r="M872" s="74"/>
      <c r="N872" s="74"/>
      <c r="O872" s="74"/>
      <c r="P872" s="74"/>
      <c r="Q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1078"/>
      <c r="L873" s="74"/>
      <c r="M873" s="74"/>
      <c r="N873" s="74"/>
      <c r="O873" s="74"/>
      <c r="P873" s="74"/>
      <c r="Q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1078"/>
      <c r="L874" s="74"/>
      <c r="M874" s="74"/>
      <c r="N874" s="74"/>
      <c r="O874" s="74"/>
      <c r="P874" s="74"/>
      <c r="Q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1078"/>
      <c r="L875" s="74"/>
      <c r="M875" s="74"/>
      <c r="N875" s="74"/>
      <c r="O875" s="74"/>
      <c r="P875" s="74"/>
      <c r="Q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1078"/>
      <c r="L876" s="74"/>
      <c r="M876" s="74"/>
      <c r="N876" s="74"/>
      <c r="O876" s="74"/>
      <c r="P876" s="74"/>
      <c r="Q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1078"/>
      <c r="L877" s="74"/>
      <c r="M877" s="74"/>
      <c r="N877" s="74"/>
      <c r="O877" s="74"/>
      <c r="P877" s="74"/>
      <c r="Q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1078"/>
      <c r="L878" s="74"/>
      <c r="M878" s="74"/>
      <c r="N878" s="74"/>
      <c r="O878" s="74"/>
      <c r="P878" s="74"/>
      <c r="Q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1078"/>
      <c r="L879" s="74"/>
      <c r="M879" s="74"/>
      <c r="N879" s="74"/>
      <c r="O879" s="74"/>
      <c r="P879" s="74"/>
      <c r="Q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1078"/>
      <c r="L880" s="74"/>
      <c r="M880" s="74"/>
      <c r="N880" s="74"/>
      <c r="O880" s="74"/>
      <c r="P880" s="74"/>
      <c r="Q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1078"/>
      <c r="L881" s="74"/>
      <c r="M881" s="74"/>
      <c r="N881" s="74"/>
      <c r="O881" s="74"/>
      <c r="P881" s="74"/>
      <c r="Q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1078"/>
      <c r="L882" s="74"/>
      <c r="M882" s="74"/>
      <c r="N882" s="74"/>
      <c r="O882" s="74"/>
      <c r="P882" s="74"/>
      <c r="Q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1078"/>
      <c r="L883" s="74"/>
      <c r="M883" s="74"/>
      <c r="N883" s="74"/>
      <c r="O883" s="74"/>
      <c r="P883" s="74"/>
      <c r="Q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1078"/>
      <c r="L884" s="74"/>
      <c r="M884" s="74"/>
      <c r="N884" s="74"/>
      <c r="O884" s="74"/>
      <c r="P884" s="74"/>
      <c r="Q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1078"/>
      <c r="L885" s="74"/>
      <c r="M885" s="74"/>
      <c r="N885" s="74"/>
      <c r="O885" s="74"/>
      <c r="P885" s="74"/>
      <c r="Q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1078"/>
      <c r="L886" s="74"/>
      <c r="M886" s="74"/>
      <c r="N886" s="74"/>
      <c r="O886" s="74"/>
      <c r="P886" s="74"/>
      <c r="Q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1078"/>
      <c r="L887" s="74"/>
      <c r="M887" s="74"/>
      <c r="N887" s="74"/>
      <c r="O887" s="74"/>
      <c r="P887" s="74"/>
      <c r="Q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1078"/>
      <c r="L888" s="74"/>
      <c r="M888" s="74"/>
      <c r="N888" s="74"/>
      <c r="O888" s="74"/>
      <c r="P888" s="74"/>
      <c r="Q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1078"/>
      <c r="L889" s="74"/>
      <c r="M889" s="74"/>
      <c r="N889" s="74"/>
      <c r="O889" s="74"/>
      <c r="P889" s="74"/>
      <c r="Q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1078"/>
      <c r="L890" s="74"/>
      <c r="M890" s="74"/>
      <c r="N890" s="74"/>
      <c r="O890" s="74"/>
      <c r="P890" s="74"/>
      <c r="Q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1078"/>
      <c r="L891" s="74"/>
      <c r="M891" s="74"/>
      <c r="N891" s="74"/>
      <c r="O891" s="74"/>
      <c r="P891" s="74"/>
      <c r="Q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1078"/>
      <c r="L892" s="74"/>
      <c r="M892" s="74"/>
      <c r="N892" s="74"/>
      <c r="O892" s="74"/>
      <c r="P892" s="74"/>
      <c r="Q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1078"/>
      <c r="L893" s="74"/>
      <c r="M893" s="74"/>
      <c r="N893" s="74"/>
      <c r="O893" s="74"/>
      <c r="P893" s="74"/>
      <c r="Q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1078"/>
      <c r="L894" s="74"/>
      <c r="M894" s="74"/>
      <c r="N894" s="74"/>
      <c r="O894" s="74"/>
      <c r="P894" s="74"/>
      <c r="Q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1078"/>
      <c r="L895" s="74"/>
      <c r="M895" s="74"/>
      <c r="N895" s="74"/>
      <c r="O895" s="74"/>
      <c r="P895" s="74"/>
      <c r="Q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1078"/>
      <c r="L896" s="74"/>
      <c r="M896" s="74"/>
      <c r="N896" s="74"/>
      <c r="O896" s="74"/>
      <c r="P896" s="74"/>
      <c r="Q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1078"/>
      <c r="L897" s="74"/>
      <c r="M897" s="74"/>
      <c r="N897" s="74"/>
      <c r="O897" s="74"/>
      <c r="P897" s="74"/>
      <c r="Q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1078"/>
      <c r="L898" s="74"/>
      <c r="M898" s="74"/>
      <c r="N898" s="74"/>
      <c r="O898" s="74"/>
      <c r="P898" s="74"/>
      <c r="Q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1078"/>
      <c r="L899" s="74"/>
      <c r="M899" s="74"/>
      <c r="N899" s="74"/>
      <c r="O899" s="74"/>
      <c r="P899" s="74"/>
      <c r="Q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1078"/>
      <c r="L900" s="74"/>
      <c r="M900" s="74"/>
      <c r="N900" s="74"/>
      <c r="O900" s="74"/>
      <c r="P900" s="74"/>
      <c r="Q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1078"/>
      <c r="L901" s="74"/>
      <c r="M901" s="74"/>
      <c r="N901" s="74"/>
      <c r="O901" s="74"/>
      <c r="P901" s="74"/>
      <c r="Q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1078"/>
      <c r="L902" s="74"/>
      <c r="M902" s="74"/>
      <c r="N902" s="74"/>
      <c r="O902" s="74"/>
      <c r="P902" s="74"/>
      <c r="Q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1078"/>
      <c r="L903" s="74"/>
      <c r="M903" s="74"/>
      <c r="N903" s="74"/>
      <c r="O903" s="74"/>
      <c r="P903" s="74"/>
      <c r="Q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1078"/>
      <c r="L904" s="74"/>
      <c r="M904" s="74"/>
      <c r="N904" s="74"/>
      <c r="O904" s="74"/>
      <c r="P904" s="74"/>
      <c r="Q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1078"/>
      <c r="L905" s="74"/>
      <c r="M905" s="74"/>
      <c r="N905" s="74"/>
      <c r="O905" s="74"/>
      <c r="P905" s="74"/>
      <c r="Q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1078"/>
      <c r="L906" s="74"/>
      <c r="M906" s="74"/>
      <c r="N906" s="74"/>
      <c r="O906" s="74"/>
      <c r="P906" s="74"/>
      <c r="Q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1078"/>
      <c r="L907" s="74"/>
      <c r="M907" s="74"/>
      <c r="N907" s="74"/>
      <c r="O907" s="74"/>
      <c r="P907" s="74"/>
      <c r="Q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1078"/>
      <c r="L908" s="74"/>
      <c r="M908" s="74"/>
      <c r="N908" s="74"/>
      <c r="O908" s="74"/>
      <c r="P908" s="74"/>
      <c r="Q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1078"/>
      <c r="L909" s="74"/>
      <c r="M909" s="74"/>
      <c r="N909" s="74"/>
      <c r="O909" s="74"/>
      <c r="P909" s="74"/>
      <c r="Q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1078"/>
      <c r="L910" s="74"/>
      <c r="M910" s="74"/>
      <c r="N910" s="74"/>
      <c r="O910" s="74"/>
      <c r="P910" s="74"/>
      <c r="Q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1078"/>
      <c r="L911" s="74"/>
      <c r="M911" s="74"/>
      <c r="N911" s="74"/>
      <c r="O911" s="74"/>
      <c r="P911" s="74"/>
      <c r="Q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1078"/>
      <c r="L912" s="74"/>
      <c r="M912" s="74"/>
      <c r="N912" s="74"/>
      <c r="O912" s="74"/>
      <c r="P912" s="74"/>
      <c r="Q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1078"/>
      <c r="L913" s="74"/>
      <c r="M913" s="74"/>
      <c r="N913" s="74"/>
      <c r="O913" s="74"/>
      <c r="P913" s="74"/>
      <c r="Q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1078"/>
      <c r="L914" s="74"/>
      <c r="M914" s="74"/>
      <c r="N914" s="74"/>
      <c r="O914" s="74"/>
      <c r="P914" s="74"/>
      <c r="Q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1078"/>
      <c r="L915" s="74"/>
      <c r="M915" s="74"/>
      <c r="N915" s="74"/>
      <c r="O915" s="74"/>
      <c r="P915" s="74"/>
      <c r="Q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1078"/>
      <c r="L916" s="74"/>
      <c r="M916" s="74"/>
      <c r="N916" s="74"/>
      <c r="O916" s="74"/>
      <c r="P916" s="74"/>
      <c r="Q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1078"/>
      <c r="L917" s="74"/>
      <c r="M917" s="74"/>
      <c r="N917" s="74"/>
      <c r="O917" s="74"/>
      <c r="P917" s="74"/>
      <c r="Q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1078"/>
      <c r="L918" s="74"/>
      <c r="M918" s="74"/>
      <c r="N918" s="74"/>
      <c r="O918" s="74"/>
      <c r="P918" s="74"/>
      <c r="Q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1078"/>
      <c r="L919" s="74"/>
      <c r="M919" s="74"/>
      <c r="N919" s="74"/>
      <c r="O919" s="74"/>
      <c r="P919" s="74"/>
      <c r="Q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1078"/>
      <c r="L920" s="74"/>
      <c r="M920" s="74"/>
      <c r="N920" s="74"/>
      <c r="O920" s="74"/>
      <c r="P920" s="74"/>
      <c r="Q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1078"/>
      <c r="L921" s="74"/>
      <c r="M921" s="74"/>
      <c r="N921" s="74"/>
      <c r="O921" s="74"/>
      <c r="P921" s="74"/>
      <c r="Q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1078"/>
      <c r="L922" s="74"/>
      <c r="M922" s="74"/>
      <c r="N922" s="74"/>
      <c r="O922" s="74"/>
      <c r="P922" s="74"/>
      <c r="Q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1078"/>
      <c r="L923" s="74"/>
      <c r="M923" s="74"/>
      <c r="N923" s="74"/>
      <c r="O923" s="74"/>
      <c r="P923" s="74"/>
      <c r="Q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1078"/>
      <c r="L924" s="74"/>
      <c r="M924" s="74"/>
      <c r="N924" s="74"/>
      <c r="O924" s="74"/>
      <c r="P924" s="74"/>
      <c r="Q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1078"/>
      <c r="L925" s="74"/>
      <c r="M925" s="74"/>
      <c r="N925" s="74"/>
      <c r="O925" s="74"/>
      <c r="P925" s="74"/>
      <c r="Q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1078"/>
      <c r="L926" s="74"/>
      <c r="M926" s="74"/>
      <c r="N926" s="74"/>
      <c r="O926" s="74"/>
      <c r="P926" s="74"/>
      <c r="Q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1078"/>
      <c r="L927" s="74"/>
      <c r="M927" s="74"/>
      <c r="N927" s="74"/>
      <c r="O927" s="74"/>
      <c r="P927" s="74"/>
      <c r="Q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1078"/>
      <c r="L928" s="74"/>
      <c r="M928" s="74"/>
      <c r="N928" s="74"/>
      <c r="O928" s="74"/>
      <c r="P928" s="74"/>
      <c r="Q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1078"/>
      <c r="L929" s="74"/>
      <c r="M929" s="74"/>
      <c r="N929" s="74"/>
      <c r="O929" s="74"/>
      <c r="P929" s="74"/>
      <c r="Q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1078"/>
      <c r="L930" s="74"/>
      <c r="M930" s="74"/>
      <c r="N930" s="74"/>
      <c r="O930" s="74"/>
      <c r="P930" s="74"/>
      <c r="Q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1078"/>
      <c r="L931" s="74"/>
      <c r="M931" s="74"/>
      <c r="N931" s="74"/>
      <c r="O931" s="74"/>
      <c r="P931" s="74"/>
      <c r="Q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1078"/>
      <c r="L932" s="74"/>
      <c r="M932" s="74"/>
      <c r="N932" s="74"/>
      <c r="O932" s="74"/>
      <c r="P932" s="74"/>
      <c r="Q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1078"/>
      <c r="L933" s="74"/>
      <c r="M933" s="74"/>
      <c r="N933" s="74"/>
      <c r="O933" s="74"/>
      <c r="P933" s="74"/>
      <c r="Q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1078"/>
      <c r="L934" s="74"/>
      <c r="M934" s="74"/>
      <c r="N934" s="74"/>
      <c r="O934" s="74"/>
      <c r="P934" s="74"/>
      <c r="Q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1078"/>
      <c r="L935" s="74"/>
      <c r="M935" s="74"/>
      <c r="N935" s="74"/>
      <c r="O935" s="74"/>
      <c r="P935" s="74"/>
      <c r="Q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1078"/>
      <c r="L936" s="74"/>
      <c r="M936" s="74"/>
      <c r="N936" s="74"/>
      <c r="O936" s="74"/>
      <c r="P936" s="74"/>
      <c r="Q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1078"/>
      <c r="L937" s="74"/>
      <c r="M937" s="74"/>
      <c r="N937" s="74"/>
      <c r="O937" s="74"/>
      <c r="P937" s="74"/>
      <c r="Q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1078"/>
      <c r="L938" s="74"/>
      <c r="M938" s="74"/>
      <c r="N938" s="74"/>
      <c r="O938" s="74"/>
      <c r="P938" s="74"/>
      <c r="Q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1078"/>
      <c r="L939" s="74"/>
      <c r="M939" s="74"/>
      <c r="N939" s="74"/>
      <c r="O939" s="74"/>
      <c r="P939" s="74"/>
      <c r="Q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1078"/>
      <c r="L940" s="74"/>
      <c r="M940" s="74"/>
      <c r="N940" s="74"/>
      <c r="O940" s="74"/>
      <c r="P940" s="74"/>
      <c r="Q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1078"/>
      <c r="L941" s="74"/>
      <c r="M941" s="74"/>
      <c r="N941" s="74"/>
      <c r="O941" s="74"/>
      <c r="P941" s="74"/>
      <c r="Q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1078"/>
      <c r="L942" s="74"/>
      <c r="M942" s="74"/>
      <c r="N942" s="74"/>
      <c r="O942" s="74"/>
      <c r="P942" s="74"/>
      <c r="Q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1078"/>
      <c r="L943" s="74"/>
      <c r="M943" s="74"/>
      <c r="N943" s="74"/>
      <c r="O943" s="74"/>
      <c r="P943" s="74"/>
      <c r="Q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1078"/>
      <c r="L944" s="74"/>
      <c r="M944" s="74"/>
      <c r="N944" s="74"/>
      <c r="O944" s="74"/>
      <c r="P944" s="74"/>
      <c r="Q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1078"/>
      <c r="L945" s="74"/>
      <c r="M945" s="74"/>
      <c r="N945" s="74"/>
      <c r="O945" s="74"/>
      <c r="P945" s="74"/>
      <c r="Q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1078"/>
      <c r="L946" s="74"/>
      <c r="M946" s="74"/>
      <c r="N946" s="74"/>
      <c r="O946" s="74"/>
      <c r="P946" s="74"/>
      <c r="Q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1078"/>
      <c r="L947" s="74"/>
      <c r="M947" s="74"/>
      <c r="N947" s="74"/>
      <c r="O947" s="74"/>
      <c r="P947" s="74"/>
      <c r="Q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1078"/>
      <c r="L948" s="74"/>
      <c r="M948" s="74"/>
      <c r="N948" s="74"/>
      <c r="O948" s="74"/>
      <c r="P948" s="74"/>
      <c r="Q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1078"/>
      <c r="L949" s="74"/>
      <c r="M949" s="74"/>
      <c r="N949" s="74"/>
      <c r="O949" s="74"/>
      <c r="P949" s="74"/>
      <c r="Q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1078"/>
      <c r="L950" s="74"/>
      <c r="M950" s="74"/>
      <c r="N950" s="74"/>
      <c r="O950" s="74"/>
      <c r="P950" s="74"/>
      <c r="Q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1078"/>
      <c r="L951" s="74"/>
      <c r="M951" s="74"/>
      <c r="N951" s="74"/>
      <c r="O951" s="74"/>
      <c r="P951" s="74"/>
      <c r="Q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1078"/>
      <c r="L952" s="74"/>
      <c r="M952" s="74"/>
      <c r="N952" s="74"/>
      <c r="O952" s="74"/>
      <c r="P952" s="74"/>
      <c r="Q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1078"/>
      <c r="L953" s="74"/>
      <c r="M953" s="74"/>
      <c r="N953" s="74"/>
      <c r="O953" s="74"/>
      <c r="P953" s="74"/>
      <c r="Q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1078"/>
      <c r="L954" s="74"/>
      <c r="M954" s="74"/>
      <c r="N954" s="74"/>
      <c r="O954" s="74"/>
      <c r="P954" s="74"/>
      <c r="Q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1078"/>
      <c r="L955" s="74"/>
      <c r="M955" s="74"/>
      <c r="N955" s="74"/>
      <c r="O955" s="74"/>
      <c r="P955" s="74"/>
      <c r="Q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1078"/>
      <c r="L956" s="74"/>
      <c r="M956" s="74"/>
      <c r="N956" s="74"/>
      <c r="O956" s="74"/>
      <c r="P956" s="74"/>
      <c r="Q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1078"/>
      <c r="L957" s="74"/>
      <c r="M957" s="74"/>
      <c r="N957" s="74"/>
      <c r="O957" s="74"/>
      <c r="P957" s="74"/>
      <c r="Q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1078"/>
      <c r="L958" s="74"/>
      <c r="M958" s="74"/>
      <c r="N958" s="74"/>
      <c r="O958" s="74"/>
      <c r="P958" s="74"/>
      <c r="Q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1078"/>
      <c r="L959" s="74"/>
      <c r="M959" s="74"/>
      <c r="N959" s="74"/>
      <c r="O959" s="74"/>
      <c r="P959" s="74"/>
      <c r="Q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1078"/>
      <c r="L960" s="74"/>
      <c r="M960" s="74"/>
      <c r="N960" s="74"/>
      <c r="O960" s="74"/>
      <c r="P960" s="74"/>
      <c r="Q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1078"/>
      <c r="L961" s="74"/>
      <c r="M961" s="74"/>
      <c r="N961" s="74"/>
      <c r="O961" s="74"/>
      <c r="P961" s="74"/>
      <c r="Q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1078"/>
      <c r="L962" s="74"/>
      <c r="M962" s="74"/>
      <c r="N962" s="74"/>
      <c r="O962" s="74"/>
      <c r="P962" s="74"/>
      <c r="Q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1078"/>
      <c r="L963" s="74"/>
      <c r="M963" s="74"/>
      <c r="N963" s="74"/>
      <c r="O963" s="74"/>
      <c r="P963" s="74"/>
      <c r="Q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1078"/>
      <c r="L964" s="74"/>
      <c r="M964" s="74"/>
      <c r="N964" s="74"/>
      <c r="O964" s="74"/>
      <c r="P964" s="74"/>
      <c r="Q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1078"/>
      <c r="L965" s="74"/>
      <c r="M965" s="74"/>
      <c r="N965" s="74"/>
      <c r="O965" s="74"/>
      <c r="P965" s="74"/>
      <c r="Q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1078"/>
      <c r="L966" s="74"/>
      <c r="M966" s="74"/>
      <c r="N966" s="74"/>
      <c r="O966" s="74"/>
      <c r="P966" s="74"/>
      <c r="Q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1078"/>
      <c r="L967" s="74"/>
      <c r="M967" s="74"/>
      <c r="N967" s="74"/>
      <c r="O967" s="74"/>
      <c r="P967" s="74"/>
      <c r="Q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1078"/>
      <c r="L968" s="74"/>
      <c r="M968" s="74"/>
      <c r="N968" s="74"/>
      <c r="O968" s="74"/>
      <c r="P968" s="74"/>
      <c r="Q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1078"/>
      <c r="L969" s="74"/>
      <c r="M969" s="74"/>
      <c r="N969" s="74"/>
      <c r="O969" s="74"/>
      <c r="P969" s="74"/>
      <c r="Q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1078"/>
      <c r="L970" s="74"/>
      <c r="M970" s="74"/>
      <c r="N970" s="74"/>
      <c r="O970" s="74"/>
      <c r="P970" s="74"/>
      <c r="Q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1078"/>
      <c r="L971" s="74"/>
      <c r="M971" s="74"/>
      <c r="N971" s="74"/>
      <c r="O971" s="74"/>
      <c r="P971" s="74"/>
      <c r="Q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1078"/>
      <c r="L972" s="74"/>
      <c r="M972" s="74"/>
      <c r="N972" s="74"/>
      <c r="O972" s="74"/>
      <c r="P972" s="74"/>
      <c r="Q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1078"/>
      <c r="L973" s="74"/>
      <c r="M973" s="74"/>
      <c r="N973" s="74"/>
      <c r="O973" s="74"/>
      <c r="P973" s="74"/>
      <c r="Q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1078"/>
      <c r="L974" s="74"/>
      <c r="M974" s="74"/>
      <c r="N974" s="74"/>
      <c r="O974" s="74"/>
      <c r="P974" s="74"/>
      <c r="Q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1078"/>
      <c r="L975" s="74"/>
      <c r="M975" s="74"/>
      <c r="N975" s="74"/>
      <c r="O975" s="74"/>
      <c r="P975" s="74"/>
      <c r="Q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1078"/>
      <c r="L976" s="74"/>
      <c r="M976" s="74"/>
      <c r="N976" s="74"/>
      <c r="O976" s="74"/>
      <c r="P976" s="74"/>
      <c r="Q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1078"/>
      <c r="L977" s="74"/>
      <c r="M977" s="74"/>
      <c r="N977" s="74"/>
      <c r="O977" s="74"/>
      <c r="P977" s="74"/>
      <c r="Q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1078"/>
      <c r="L978" s="74"/>
      <c r="M978" s="74"/>
      <c r="N978" s="74"/>
      <c r="O978" s="74"/>
      <c r="P978" s="74"/>
      <c r="Q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1078"/>
      <c r="L979" s="74"/>
      <c r="M979" s="74"/>
      <c r="N979" s="74"/>
      <c r="O979" s="74"/>
      <c r="P979" s="74"/>
      <c r="Q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1078"/>
      <c r="L980" s="74"/>
      <c r="M980" s="74"/>
      <c r="N980" s="74"/>
      <c r="O980" s="74"/>
      <c r="P980" s="74"/>
      <c r="Q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1078"/>
      <c r="L981" s="74"/>
      <c r="M981" s="74"/>
      <c r="N981" s="74"/>
      <c r="O981" s="74"/>
      <c r="P981" s="74"/>
      <c r="Q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1078"/>
      <c r="L982" s="74"/>
      <c r="M982" s="74"/>
      <c r="N982" s="74"/>
      <c r="O982" s="74"/>
      <c r="P982" s="74"/>
      <c r="Q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1078"/>
      <c r="L983" s="74"/>
      <c r="M983" s="74"/>
      <c r="N983" s="74"/>
      <c r="O983" s="74"/>
      <c r="P983" s="74"/>
      <c r="Q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1078"/>
      <c r="L984" s="74"/>
      <c r="M984" s="74"/>
      <c r="N984" s="74"/>
      <c r="O984" s="74"/>
      <c r="P984" s="74"/>
      <c r="Q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1078"/>
      <c r="L985" s="74"/>
      <c r="M985" s="74"/>
      <c r="N985" s="74"/>
      <c r="O985" s="74"/>
      <c r="P985" s="74"/>
      <c r="Q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1078"/>
      <c r="L986" s="74"/>
      <c r="M986" s="74"/>
      <c r="N986" s="74"/>
      <c r="O986" s="74"/>
      <c r="P986" s="74"/>
      <c r="Q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1078"/>
      <c r="L987" s="74"/>
      <c r="M987" s="74"/>
      <c r="N987" s="74"/>
      <c r="O987" s="74"/>
      <c r="P987" s="74"/>
      <c r="Q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1078"/>
      <c r="L988" s="74"/>
      <c r="M988" s="74"/>
      <c r="N988" s="74"/>
      <c r="O988" s="74"/>
      <c r="P988" s="74"/>
      <c r="Q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1078"/>
      <c r="L989" s="74"/>
      <c r="M989" s="74"/>
      <c r="N989" s="74"/>
      <c r="O989" s="74"/>
      <c r="P989" s="74"/>
      <c r="Q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1078"/>
      <c r="L990" s="74"/>
      <c r="M990" s="74"/>
      <c r="N990" s="74"/>
      <c r="O990" s="74"/>
      <c r="P990" s="74"/>
      <c r="Q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1078"/>
      <c r="L991" s="74"/>
      <c r="M991" s="74"/>
      <c r="N991" s="74"/>
      <c r="O991" s="74"/>
      <c r="P991" s="74"/>
      <c r="Q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1078"/>
      <c r="L992" s="74"/>
      <c r="M992" s="74"/>
      <c r="N992" s="74"/>
      <c r="O992" s="74"/>
      <c r="P992" s="74"/>
      <c r="Q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1078"/>
      <c r="L993" s="74"/>
      <c r="M993" s="74"/>
      <c r="N993" s="74"/>
      <c r="O993" s="74"/>
      <c r="P993" s="74"/>
      <c r="Q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1078"/>
      <c r="L994" s="74"/>
      <c r="M994" s="74"/>
      <c r="N994" s="74"/>
      <c r="O994" s="74"/>
      <c r="P994" s="74"/>
      <c r="Q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1078"/>
      <c r="L995" s="74"/>
      <c r="M995" s="74"/>
      <c r="N995" s="74"/>
      <c r="O995" s="74"/>
      <c r="P995" s="74"/>
      <c r="Q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1078"/>
      <c r="L996" s="74"/>
      <c r="M996" s="74"/>
      <c r="N996" s="74"/>
      <c r="O996" s="74"/>
      <c r="P996" s="74"/>
      <c r="Q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1078"/>
      <c r="L997" s="74"/>
      <c r="M997" s="74"/>
      <c r="N997" s="74"/>
      <c r="O997" s="74"/>
      <c r="P997" s="74"/>
      <c r="Q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1078"/>
      <c r="L998" s="74"/>
      <c r="M998" s="74"/>
      <c r="N998" s="74"/>
      <c r="O998" s="74"/>
      <c r="P998" s="74"/>
      <c r="Q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1078"/>
      <c r="L999" s="74"/>
      <c r="M999" s="74"/>
      <c r="N999" s="74"/>
      <c r="O999" s="74"/>
      <c r="P999" s="74"/>
      <c r="Q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1078"/>
      <c r="L1000" s="74"/>
      <c r="M1000" s="74"/>
      <c r="N1000" s="74"/>
      <c r="O1000" s="74"/>
      <c r="P1000" s="74"/>
      <c r="Q1000" s="74"/>
    </row>
    <row r="1001">
      <c r="A1001" s="74"/>
      <c r="B1001" s="74"/>
      <c r="C1001" s="74"/>
      <c r="D1001" s="74"/>
      <c r="E1001" s="74"/>
      <c r="F1001" s="74"/>
      <c r="G1001" s="74"/>
      <c r="H1001" s="74"/>
      <c r="I1001" s="74"/>
      <c r="J1001" s="74"/>
      <c r="K1001" s="1078"/>
      <c r="L1001" s="74"/>
      <c r="M1001" s="74"/>
      <c r="N1001" s="74"/>
      <c r="O1001" s="74"/>
      <c r="P1001" s="74"/>
      <c r="Q1001" s="74"/>
    </row>
    <row r="1002">
      <c r="A1002" s="74"/>
      <c r="B1002" s="74"/>
      <c r="C1002" s="74"/>
      <c r="D1002" s="74"/>
      <c r="E1002" s="74"/>
      <c r="F1002" s="74"/>
      <c r="G1002" s="74"/>
      <c r="H1002" s="74"/>
      <c r="I1002" s="74"/>
      <c r="J1002" s="74"/>
      <c r="K1002" s="1078"/>
      <c r="L1002" s="74"/>
      <c r="M1002" s="74"/>
      <c r="N1002" s="74"/>
      <c r="O1002" s="74"/>
      <c r="P1002" s="74"/>
      <c r="Q1002" s="74"/>
    </row>
    <row r="1003">
      <c r="A1003" s="74"/>
      <c r="B1003" s="74"/>
      <c r="C1003" s="74"/>
      <c r="D1003" s="74"/>
      <c r="E1003" s="74"/>
      <c r="F1003" s="74"/>
      <c r="G1003" s="74"/>
      <c r="H1003" s="74"/>
      <c r="I1003" s="74"/>
      <c r="J1003" s="74"/>
      <c r="K1003" s="1078"/>
      <c r="L1003" s="74"/>
      <c r="M1003" s="74"/>
      <c r="N1003" s="74"/>
      <c r="O1003" s="74"/>
      <c r="P1003" s="74"/>
      <c r="Q1003" s="74"/>
    </row>
    <row r="1004">
      <c r="A1004" s="74"/>
      <c r="B1004" s="74"/>
      <c r="C1004" s="74"/>
      <c r="D1004" s="74"/>
      <c r="E1004" s="74"/>
      <c r="F1004" s="74"/>
      <c r="G1004" s="74"/>
      <c r="H1004" s="74"/>
      <c r="I1004" s="74"/>
      <c r="J1004" s="74"/>
      <c r="K1004" s="1078"/>
      <c r="L1004" s="74"/>
      <c r="M1004" s="74"/>
      <c r="N1004" s="74"/>
      <c r="O1004" s="74"/>
      <c r="P1004" s="74"/>
      <c r="Q1004" s="74"/>
    </row>
    <row r="1005">
      <c r="A1005" s="74"/>
      <c r="B1005" s="74"/>
      <c r="C1005" s="74"/>
      <c r="D1005" s="74"/>
      <c r="E1005" s="74"/>
      <c r="F1005" s="74"/>
      <c r="G1005" s="74"/>
      <c r="H1005" s="74"/>
      <c r="I1005" s="74"/>
      <c r="J1005" s="74"/>
      <c r="K1005" s="1078"/>
      <c r="L1005" s="74"/>
      <c r="M1005" s="74"/>
      <c r="N1005" s="74"/>
      <c r="O1005" s="74"/>
      <c r="P1005" s="74"/>
      <c r="Q1005" s="74"/>
    </row>
    <row r="1006">
      <c r="A1006" s="74"/>
      <c r="B1006" s="74"/>
      <c r="C1006" s="74"/>
      <c r="D1006" s="74"/>
      <c r="E1006" s="74"/>
      <c r="F1006" s="74"/>
      <c r="G1006" s="74"/>
      <c r="H1006" s="74"/>
      <c r="I1006" s="74"/>
      <c r="J1006" s="74"/>
      <c r="K1006" s="1078"/>
      <c r="L1006" s="74"/>
      <c r="M1006" s="74"/>
      <c r="N1006" s="74"/>
      <c r="O1006" s="74"/>
      <c r="P1006" s="74"/>
      <c r="Q1006" s="74"/>
    </row>
    <row r="1007">
      <c r="A1007" s="74"/>
      <c r="B1007" s="74"/>
      <c r="C1007" s="74"/>
      <c r="D1007" s="74"/>
      <c r="E1007" s="74"/>
      <c r="F1007" s="74"/>
      <c r="G1007" s="74"/>
      <c r="H1007" s="74"/>
      <c r="I1007" s="74"/>
      <c r="J1007" s="74"/>
      <c r="K1007" s="1078"/>
      <c r="L1007" s="74"/>
      <c r="M1007" s="74"/>
      <c r="N1007" s="74"/>
      <c r="O1007" s="74"/>
      <c r="P1007" s="74"/>
      <c r="Q1007" s="74"/>
    </row>
    <row r="1008">
      <c r="A1008" s="74"/>
      <c r="B1008" s="74"/>
      <c r="C1008" s="74"/>
      <c r="D1008" s="74"/>
      <c r="E1008" s="74"/>
      <c r="F1008" s="74"/>
      <c r="G1008" s="74"/>
      <c r="H1008" s="74"/>
      <c r="I1008" s="74"/>
      <c r="J1008" s="74"/>
      <c r="K1008" s="1078"/>
      <c r="L1008" s="74"/>
      <c r="M1008" s="74"/>
      <c r="N1008" s="74"/>
      <c r="O1008" s="74"/>
      <c r="P1008" s="74"/>
      <c r="Q1008" s="74"/>
    </row>
  </sheetData>
  <mergeCells count="155">
    <mergeCell ref="F3:G3"/>
    <mergeCell ref="H3:I3"/>
    <mergeCell ref="L3:M3"/>
    <mergeCell ref="O3:P3"/>
    <mergeCell ref="O4:Q4"/>
    <mergeCell ref="O5:P5"/>
    <mergeCell ref="B1:P1"/>
    <mergeCell ref="F2:G2"/>
    <mergeCell ref="H2:J2"/>
    <mergeCell ref="K2:K3"/>
    <mergeCell ref="L2:N2"/>
    <mergeCell ref="O2:Q2"/>
    <mergeCell ref="R2:S3"/>
    <mergeCell ref="P8:P9"/>
    <mergeCell ref="Q8:Q9"/>
    <mergeCell ref="R9:S9"/>
    <mergeCell ref="R10:S10"/>
    <mergeCell ref="O12:Q12"/>
    <mergeCell ref="R12:S12"/>
    <mergeCell ref="O13:P13"/>
    <mergeCell ref="C10:E10"/>
    <mergeCell ref="C11:D11"/>
    <mergeCell ref="F11:G11"/>
    <mergeCell ref="L8:M9"/>
    <mergeCell ref="L11:M11"/>
    <mergeCell ref="F8:F9"/>
    <mergeCell ref="G8:G9"/>
    <mergeCell ref="H8:I9"/>
    <mergeCell ref="J8:J9"/>
    <mergeCell ref="N8:N9"/>
    <mergeCell ref="O8:O9"/>
    <mergeCell ref="F10:N10"/>
    <mergeCell ref="C2:E2"/>
    <mergeCell ref="C3:D3"/>
    <mergeCell ref="A4:A11"/>
    <mergeCell ref="B8:B9"/>
    <mergeCell ref="C8:C9"/>
    <mergeCell ref="E8:E9"/>
    <mergeCell ref="C17:E17"/>
    <mergeCell ref="C33:D34"/>
    <mergeCell ref="E33:E34"/>
    <mergeCell ref="B35:B36"/>
    <mergeCell ref="C35:E36"/>
    <mergeCell ref="B37:B38"/>
    <mergeCell ref="C37:E38"/>
    <mergeCell ref="A39:A45"/>
    <mergeCell ref="A46:B46"/>
    <mergeCell ref="C46:E46"/>
    <mergeCell ref="F46:G46"/>
    <mergeCell ref="B49:C49"/>
    <mergeCell ref="A12:A18"/>
    <mergeCell ref="A19:A28"/>
    <mergeCell ref="C24:C25"/>
    <mergeCell ref="D24:D25"/>
    <mergeCell ref="E24:E25"/>
    <mergeCell ref="F24:F25"/>
    <mergeCell ref="A29:A38"/>
    <mergeCell ref="F37:F38"/>
    <mergeCell ref="R24:R25"/>
    <mergeCell ref="S24:S25"/>
    <mergeCell ref="R29:S29"/>
    <mergeCell ref="Q33:Q34"/>
    <mergeCell ref="R33:R34"/>
    <mergeCell ref="S33:S34"/>
    <mergeCell ref="O34:P35"/>
    <mergeCell ref="R43:S44"/>
    <mergeCell ref="O44:P44"/>
    <mergeCell ref="O46:P46"/>
    <mergeCell ref="R46:S46"/>
    <mergeCell ref="Q35:Q36"/>
    <mergeCell ref="R35:R36"/>
    <mergeCell ref="S35:S36"/>
    <mergeCell ref="O36:P37"/>
    <mergeCell ref="Q37:Q38"/>
    <mergeCell ref="R37:R38"/>
    <mergeCell ref="S37:S38"/>
    <mergeCell ref="O19:Q19"/>
    <mergeCell ref="R19:S20"/>
    <mergeCell ref="O20:P20"/>
    <mergeCell ref="F17:N17"/>
    <mergeCell ref="F18:G18"/>
    <mergeCell ref="H18:I18"/>
    <mergeCell ref="L18:M18"/>
    <mergeCell ref="L19:L20"/>
    <mergeCell ref="M19:M20"/>
    <mergeCell ref="N19:N20"/>
    <mergeCell ref="M21:M22"/>
    <mergeCell ref="N21:N22"/>
    <mergeCell ref="O21:O22"/>
    <mergeCell ref="P21:P22"/>
    <mergeCell ref="Q21:Q22"/>
    <mergeCell ref="R21:R22"/>
    <mergeCell ref="S21:S22"/>
    <mergeCell ref="L21:L22"/>
    <mergeCell ref="L24:L25"/>
    <mergeCell ref="M24:M25"/>
    <mergeCell ref="N24:N25"/>
    <mergeCell ref="O24:O25"/>
    <mergeCell ref="P24:P25"/>
    <mergeCell ref="Q24:Q25"/>
    <mergeCell ref="G37:G38"/>
    <mergeCell ref="H37:H38"/>
    <mergeCell ref="I37:I38"/>
    <mergeCell ref="J37:J38"/>
    <mergeCell ref="L37:L38"/>
    <mergeCell ref="M37:M38"/>
    <mergeCell ref="N37:N38"/>
    <mergeCell ref="L26:M26"/>
    <mergeCell ref="L27:N27"/>
    <mergeCell ref="L28:M28"/>
    <mergeCell ref="F34:G34"/>
    <mergeCell ref="F35:G36"/>
    <mergeCell ref="H35:J35"/>
    <mergeCell ref="L35:N36"/>
    <mergeCell ref="R39:S39"/>
    <mergeCell ref="O40:Q40"/>
    <mergeCell ref="L46:N46"/>
    <mergeCell ref="B47:P47"/>
    <mergeCell ref="H33:J34"/>
    <mergeCell ref="L33:L34"/>
    <mergeCell ref="M33:M34"/>
    <mergeCell ref="N33:N34"/>
    <mergeCell ref="C40:N40"/>
    <mergeCell ref="F41:N41"/>
    <mergeCell ref="H46:J46"/>
    <mergeCell ref="D8:D9"/>
    <mergeCell ref="C16:D16"/>
    <mergeCell ref="I19:I20"/>
    <mergeCell ref="J19:J20"/>
    <mergeCell ref="B19:B20"/>
    <mergeCell ref="C19:C20"/>
    <mergeCell ref="D19:D20"/>
    <mergeCell ref="E19:E20"/>
    <mergeCell ref="F19:F20"/>
    <mergeCell ref="G19:G20"/>
    <mergeCell ref="H19:H20"/>
    <mergeCell ref="B21:B22"/>
    <mergeCell ref="C21:C22"/>
    <mergeCell ref="D21:D22"/>
    <mergeCell ref="E21:E22"/>
    <mergeCell ref="F21:F22"/>
    <mergeCell ref="G21:G22"/>
    <mergeCell ref="H21:H22"/>
    <mergeCell ref="C26:D26"/>
    <mergeCell ref="C27:E27"/>
    <mergeCell ref="F27:J27"/>
    <mergeCell ref="B24:B25"/>
    <mergeCell ref="B33:B34"/>
    <mergeCell ref="I21:I22"/>
    <mergeCell ref="J21:J22"/>
    <mergeCell ref="G24:G25"/>
    <mergeCell ref="H24:H25"/>
    <mergeCell ref="I24:I25"/>
    <mergeCell ref="J24:J25"/>
    <mergeCell ref="H26:I2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4.5"/>
    <col customWidth="1" min="3" max="3" width="9.13"/>
    <col customWidth="1" min="4" max="5" width="9.5"/>
    <col customWidth="1" min="6" max="7" width="11.13"/>
    <col customWidth="1" min="8" max="8" width="9.38"/>
    <col customWidth="1" min="9" max="9" width="9.0"/>
    <col customWidth="1" min="10" max="10" width="9.63"/>
    <col customWidth="1" min="11" max="11" width="12.25"/>
    <col customWidth="1" min="12" max="12" width="11.5"/>
    <col customWidth="1" min="13" max="13" width="12.0"/>
    <col customWidth="1" min="14" max="14" width="12.75"/>
    <col customWidth="1" min="15" max="15" width="17.75"/>
    <col customWidth="1" min="16" max="16" width="17.63"/>
    <col customWidth="1" min="17" max="30" width="15.13"/>
  </cols>
  <sheetData>
    <row r="1" ht="13.5" customHeight="1">
      <c r="A1" s="179"/>
      <c r="B1" s="249" t="s">
        <v>495</v>
      </c>
    </row>
    <row r="2" ht="13.5" customHeight="1">
      <c r="A2" s="179"/>
      <c r="B2" s="179"/>
      <c r="C2" s="895" t="s">
        <v>496</v>
      </c>
      <c r="D2" s="6"/>
      <c r="E2" s="10"/>
      <c r="F2" s="1079" t="s">
        <v>408</v>
      </c>
      <c r="G2" s="1080"/>
      <c r="H2" s="900" t="s">
        <v>409</v>
      </c>
      <c r="I2" s="1081"/>
      <c r="J2" s="86"/>
      <c r="K2" s="1082" t="s">
        <v>411</v>
      </c>
      <c r="L2" s="86"/>
      <c r="M2" s="1082" t="s">
        <v>412</v>
      </c>
      <c r="N2" s="86"/>
      <c r="O2" s="1083" t="s">
        <v>413</v>
      </c>
      <c r="P2" s="86"/>
    </row>
    <row r="3" ht="13.5" customHeight="1">
      <c r="A3" s="179"/>
      <c r="B3" s="179"/>
      <c r="C3" s="908">
        <v>32421.0</v>
      </c>
      <c r="D3" s="46"/>
      <c r="E3" s="909">
        <v>32422.0</v>
      </c>
      <c r="F3" s="1084" t="s">
        <v>414</v>
      </c>
      <c r="G3" s="91"/>
      <c r="H3" s="906">
        <v>32321.0</v>
      </c>
      <c r="I3" s="124"/>
      <c r="J3" s="1085">
        <v>32322.0</v>
      </c>
      <c r="L3" s="46"/>
      <c r="N3" s="46"/>
      <c r="O3" s="211"/>
      <c r="P3" s="92"/>
    </row>
    <row r="4" ht="13.5" customHeight="1">
      <c r="A4" s="188" t="s">
        <v>74</v>
      </c>
      <c r="B4" s="253" t="s">
        <v>415</v>
      </c>
      <c r="C4" s="912"/>
      <c r="D4" s="914"/>
      <c r="E4" s="915"/>
      <c r="F4" s="912"/>
      <c r="G4" s="915"/>
      <c r="H4" s="1086"/>
      <c r="I4" s="493"/>
      <c r="J4" s="1087"/>
      <c r="K4" s="914"/>
      <c r="L4" s="1087"/>
      <c r="M4" s="915"/>
      <c r="N4" s="913"/>
      <c r="O4" s="1088" t="s">
        <v>497</v>
      </c>
      <c r="P4" s="40"/>
    </row>
    <row r="5" ht="13.5" customHeight="1">
      <c r="A5" s="59"/>
      <c r="B5" s="265" t="s">
        <v>81</v>
      </c>
      <c r="C5" s="910"/>
      <c r="D5" s="530"/>
      <c r="E5" s="911"/>
      <c r="F5" s="910"/>
      <c r="G5" s="911"/>
      <c r="H5" s="1089"/>
      <c r="I5" s="467"/>
      <c r="J5" s="1090"/>
      <c r="K5" s="530"/>
      <c r="L5" s="1090"/>
      <c r="M5" s="1091"/>
      <c r="N5" s="1092"/>
      <c r="O5" s="910"/>
      <c r="P5" s="1090"/>
    </row>
    <row r="6" ht="13.5" customHeight="1">
      <c r="A6" s="59"/>
      <c r="B6" s="265" t="s">
        <v>83</v>
      </c>
      <c r="C6" s="910"/>
      <c r="D6" s="530"/>
      <c r="E6" s="911"/>
      <c r="F6" s="910"/>
      <c r="G6" s="911"/>
      <c r="H6" s="1089"/>
      <c r="I6" s="467"/>
      <c r="J6" s="1090"/>
      <c r="K6" s="530"/>
      <c r="L6" s="1090"/>
      <c r="M6" s="1091"/>
      <c r="N6" s="1092"/>
      <c r="O6" s="910"/>
      <c r="P6" s="1090"/>
    </row>
    <row r="7" ht="13.5" customHeight="1">
      <c r="A7" s="59"/>
      <c r="B7" s="265" t="s">
        <v>87</v>
      </c>
      <c r="C7" s="910"/>
      <c r="D7" s="530"/>
      <c r="E7" s="911"/>
      <c r="F7" s="910"/>
      <c r="G7" s="911"/>
      <c r="H7" s="1089"/>
      <c r="I7" s="467"/>
      <c r="J7" s="1090"/>
      <c r="K7" s="530"/>
      <c r="L7" s="1090"/>
      <c r="M7" s="1091"/>
      <c r="N7" s="1092"/>
      <c r="O7" s="910"/>
      <c r="P7" s="1090"/>
    </row>
    <row r="8" ht="12.0" customHeight="1">
      <c r="A8" s="59"/>
      <c r="B8" s="306" t="s">
        <v>92</v>
      </c>
      <c r="C8" s="470" t="s">
        <v>498</v>
      </c>
      <c r="D8" s="38"/>
      <c r="E8" s="40"/>
      <c r="F8" s="910"/>
      <c r="G8" s="911"/>
      <c r="H8" s="1093"/>
      <c r="I8" s="142"/>
      <c r="J8" s="145"/>
      <c r="K8" s="1094"/>
      <c r="L8" s="1095"/>
      <c r="M8" s="1096" t="s">
        <v>499</v>
      </c>
      <c r="O8" s="141"/>
      <c r="P8" s="145"/>
    </row>
    <row r="9" ht="17.25" customHeight="1">
      <c r="A9" s="59"/>
      <c r="B9" s="265" t="s">
        <v>93</v>
      </c>
      <c r="C9" s="1097" t="s">
        <v>500</v>
      </c>
      <c r="D9" s="13"/>
      <c r="E9" s="1027" t="s">
        <v>501</v>
      </c>
      <c r="F9" s="910"/>
      <c r="G9" s="145"/>
      <c r="H9" s="59"/>
      <c r="I9" s="535"/>
      <c r="J9" s="145"/>
      <c r="K9" s="1098" t="s">
        <v>502</v>
      </c>
      <c r="L9" s="281"/>
      <c r="M9" s="1099" t="s">
        <v>503</v>
      </c>
      <c r="N9" s="35"/>
      <c r="O9" s="59"/>
      <c r="P9" s="145"/>
      <c r="Q9" s="425"/>
      <c r="R9" s="425"/>
      <c r="S9" s="425"/>
      <c r="T9" s="425"/>
      <c r="U9" s="425"/>
      <c r="V9" s="425"/>
      <c r="W9" s="425"/>
      <c r="X9" s="425"/>
      <c r="Y9" s="425"/>
      <c r="Z9" s="425"/>
      <c r="AA9" s="425"/>
      <c r="AB9" s="425"/>
      <c r="AC9" s="425"/>
      <c r="AD9" s="425"/>
    </row>
    <row r="10" ht="9.0" customHeight="1">
      <c r="A10" s="59"/>
      <c r="B10" s="926" t="s">
        <v>94</v>
      </c>
      <c r="C10" s="1100"/>
      <c r="D10" s="1101"/>
      <c r="E10" s="1102"/>
      <c r="F10" s="1103"/>
      <c r="G10" s="991"/>
      <c r="H10" s="1100"/>
      <c r="I10" s="1101"/>
      <c r="J10" s="1102"/>
      <c r="K10" s="1104" t="s">
        <v>504</v>
      </c>
      <c r="L10" s="35"/>
      <c r="M10" s="1100"/>
      <c r="N10" s="1105" t="s">
        <v>499</v>
      </c>
      <c r="O10" s="1106"/>
      <c r="P10" s="1102"/>
    </row>
    <row r="11" ht="9.0" customHeight="1">
      <c r="A11" s="211"/>
      <c r="B11" s="123"/>
      <c r="C11" s="60"/>
      <c r="D11" s="37"/>
      <c r="E11" s="1052"/>
      <c r="F11" s="54"/>
      <c r="H11" s="60"/>
      <c r="I11" s="37"/>
      <c r="J11" s="1052"/>
      <c r="K11" s="38"/>
      <c r="L11" s="40"/>
      <c r="M11" s="211"/>
      <c r="N11" s="1052"/>
      <c r="O11" s="28"/>
      <c r="P11" s="1052"/>
    </row>
    <row r="12" ht="13.5" customHeight="1">
      <c r="A12" s="188" t="s">
        <v>95</v>
      </c>
      <c r="B12" s="253" t="s">
        <v>415</v>
      </c>
      <c r="C12" s="912"/>
      <c r="D12" s="914"/>
      <c r="E12" s="915"/>
      <c r="F12" s="912"/>
      <c r="G12" s="914"/>
      <c r="H12" s="956"/>
      <c r="I12" s="959"/>
      <c r="J12" s="1107"/>
      <c r="K12" s="914"/>
      <c r="L12" s="1087"/>
      <c r="M12" s="622" t="s">
        <v>505</v>
      </c>
      <c r="N12" s="1108"/>
      <c r="O12" s="912"/>
      <c r="P12" s="1087"/>
    </row>
    <row r="13" ht="13.5" customHeight="1">
      <c r="A13" s="59"/>
      <c r="B13" s="265" t="s">
        <v>81</v>
      </c>
      <c r="C13" s="910"/>
      <c r="D13" s="530"/>
      <c r="E13" s="911"/>
      <c r="F13" s="910"/>
      <c r="G13" s="530"/>
      <c r="H13" s="1109"/>
      <c r="I13" s="1110"/>
      <c r="J13" s="1107"/>
      <c r="K13" s="530"/>
      <c r="L13" s="1090"/>
      <c r="M13" s="1091"/>
      <c r="N13" s="1092"/>
      <c r="O13" s="910"/>
      <c r="P13" s="1090"/>
    </row>
    <row r="14" ht="13.5" customHeight="1">
      <c r="A14" s="59"/>
      <c r="B14" s="265" t="s">
        <v>83</v>
      </c>
      <c r="C14" s="910"/>
      <c r="D14" s="530"/>
      <c r="E14" s="911"/>
      <c r="F14" s="910"/>
      <c r="G14" s="530"/>
      <c r="H14" s="1109"/>
      <c r="I14" s="1110"/>
      <c r="J14" s="1107"/>
      <c r="K14" s="530"/>
      <c r="L14" s="1090"/>
      <c r="M14" s="1091"/>
      <c r="N14" s="1092"/>
      <c r="O14" s="910"/>
      <c r="P14" s="1090"/>
    </row>
    <row r="15" ht="13.5" customHeight="1">
      <c r="A15" s="59"/>
      <c r="B15" s="265" t="s">
        <v>87</v>
      </c>
      <c r="C15" s="910"/>
      <c r="D15" s="530"/>
      <c r="E15" s="911"/>
      <c r="F15" s="910"/>
      <c r="G15" s="530"/>
      <c r="H15" s="1109"/>
      <c r="I15" s="1110"/>
      <c r="J15" s="1111" t="s">
        <v>506</v>
      </c>
      <c r="K15" s="530"/>
      <c r="L15" s="1090"/>
      <c r="M15" s="1091"/>
      <c r="N15" s="1092"/>
      <c r="O15" s="1112" t="s">
        <v>507</v>
      </c>
      <c r="P15" s="40"/>
    </row>
    <row r="16" ht="16.5" customHeight="1">
      <c r="A16" s="59"/>
      <c r="B16" s="265" t="s">
        <v>92</v>
      </c>
      <c r="C16" s="1088" t="s">
        <v>508</v>
      </c>
      <c r="D16" s="38"/>
      <c r="E16" s="40"/>
      <c r="F16" s="1113"/>
      <c r="G16" s="1114"/>
      <c r="H16" s="1115" t="s">
        <v>509</v>
      </c>
      <c r="I16" s="38"/>
      <c r="J16" s="1116"/>
      <c r="K16" s="1117" t="s">
        <v>510</v>
      </c>
      <c r="L16" s="16"/>
      <c r="M16" s="1117" t="s">
        <v>511</v>
      </c>
      <c r="N16" s="16"/>
      <c r="O16" s="1118" t="s">
        <v>512</v>
      </c>
      <c r="P16" s="40"/>
    </row>
    <row r="17" ht="17.25" customHeight="1">
      <c r="A17" s="59"/>
      <c r="B17" s="265" t="s">
        <v>93</v>
      </c>
      <c r="C17" s="1119" t="s">
        <v>513</v>
      </c>
      <c r="D17" s="39"/>
      <c r="E17" s="1120" t="s">
        <v>514</v>
      </c>
      <c r="F17" s="1121" t="s">
        <v>515</v>
      </c>
      <c r="G17" s="1122"/>
      <c r="H17" s="1123" t="s">
        <v>516</v>
      </c>
      <c r="I17" s="38"/>
      <c r="J17" s="40"/>
      <c r="K17" s="1124" t="s">
        <v>517</v>
      </c>
      <c r="L17" s="281"/>
      <c r="M17" s="1125" t="s">
        <v>518</v>
      </c>
      <c r="N17" s="16"/>
      <c r="O17" s="1119" t="s">
        <v>519</v>
      </c>
      <c r="P17" s="40"/>
      <c r="Q17" s="425"/>
      <c r="R17" s="425"/>
      <c r="S17" s="425"/>
      <c r="T17" s="425"/>
      <c r="U17" s="425"/>
      <c r="V17" s="425"/>
      <c r="W17" s="425"/>
      <c r="X17" s="425"/>
      <c r="Y17" s="425"/>
      <c r="Z17" s="425"/>
      <c r="AA17" s="425"/>
      <c r="AB17" s="425"/>
      <c r="AC17" s="425"/>
      <c r="AD17" s="425"/>
    </row>
    <row r="18" ht="9.0" customHeight="1">
      <c r="A18" s="59"/>
      <c r="B18" s="926" t="s">
        <v>94</v>
      </c>
      <c r="C18" s="1126"/>
      <c r="D18" s="1127"/>
      <c r="E18" s="1128"/>
      <c r="F18" s="1129" t="s">
        <v>520</v>
      </c>
      <c r="G18" s="45"/>
      <c r="H18" s="1130" t="s">
        <v>521</v>
      </c>
      <c r="J18" s="46"/>
      <c r="K18" s="991"/>
      <c r="L18" s="46"/>
      <c r="M18" s="1050"/>
      <c r="N18" s="1131"/>
      <c r="O18" s="1106"/>
      <c r="P18" s="1102"/>
    </row>
    <row r="19" ht="7.5" customHeight="1">
      <c r="A19" s="211"/>
      <c r="B19" s="123"/>
      <c r="D19" s="45"/>
      <c r="E19" s="46"/>
      <c r="G19" s="45"/>
      <c r="H19" s="60"/>
      <c r="I19" s="38"/>
      <c r="J19" s="40"/>
      <c r="L19" s="46"/>
      <c r="M19" s="124"/>
      <c r="N19" s="92"/>
      <c r="O19" s="28"/>
      <c r="P19" s="1052"/>
    </row>
    <row r="20" ht="13.5" customHeight="1">
      <c r="A20" s="188" t="s">
        <v>110</v>
      </c>
      <c r="B20" s="253" t="s">
        <v>415</v>
      </c>
      <c r="C20" s="912"/>
      <c r="D20" s="914"/>
      <c r="E20" s="915"/>
      <c r="F20" s="912"/>
      <c r="G20" s="914"/>
      <c r="H20" s="912"/>
      <c r="I20" s="915"/>
      <c r="J20" s="913"/>
      <c r="K20" s="914"/>
      <c r="L20" s="1087"/>
      <c r="M20" s="1"/>
      <c r="N20" s="1108"/>
      <c r="O20" s="912"/>
      <c r="P20" s="1087"/>
    </row>
    <row r="21" ht="13.5" customHeight="1">
      <c r="A21" s="59"/>
      <c r="B21" s="265" t="s">
        <v>81</v>
      </c>
      <c r="C21" s="910"/>
      <c r="D21" s="530"/>
      <c r="E21" s="911"/>
      <c r="F21" s="910"/>
      <c r="G21" s="530"/>
      <c r="H21" s="910"/>
      <c r="I21" s="911"/>
      <c r="J21" s="1132"/>
      <c r="K21" s="530"/>
      <c r="L21" s="1090"/>
      <c r="M21" s="1091"/>
      <c r="N21" s="1092"/>
      <c r="O21" s="910"/>
      <c r="P21" s="1090"/>
    </row>
    <row r="22" ht="13.5" customHeight="1">
      <c r="A22" s="59"/>
      <c r="B22" s="265" t="s">
        <v>83</v>
      </c>
      <c r="C22" s="910"/>
      <c r="D22" s="530"/>
      <c r="E22" s="911"/>
      <c r="F22" s="910"/>
      <c r="G22" s="530"/>
      <c r="H22" s="910"/>
      <c r="I22" s="911"/>
      <c r="J22" s="1132"/>
      <c r="K22" s="530"/>
      <c r="L22" s="1090"/>
      <c r="M22" s="1091"/>
      <c r="N22" s="1092"/>
      <c r="O22" s="910"/>
      <c r="P22" s="1090"/>
    </row>
    <row r="23" ht="11.25" customHeight="1">
      <c r="A23" s="59"/>
      <c r="B23" s="265" t="s">
        <v>87</v>
      </c>
      <c r="C23" s="1133" t="s">
        <v>522</v>
      </c>
      <c r="D23" s="39"/>
      <c r="E23" s="1134" t="s">
        <v>523</v>
      </c>
      <c r="F23" s="910"/>
      <c r="G23" s="530"/>
      <c r="H23" s="910"/>
      <c r="I23" s="911"/>
      <c r="J23" s="1132"/>
      <c r="K23" s="530"/>
      <c r="L23" s="1090"/>
      <c r="M23" s="1091"/>
      <c r="N23" s="1092"/>
      <c r="O23" s="910"/>
      <c r="P23" s="1090"/>
    </row>
    <row r="24" ht="18.75" customHeight="1">
      <c r="A24" s="59"/>
      <c r="B24" s="265" t="s">
        <v>92</v>
      </c>
      <c r="C24" s="910"/>
      <c r="D24" s="530"/>
      <c r="E24" s="911"/>
      <c r="F24" s="1097" t="s">
        <v>524</v>
      </c>
      <c r="G24" s="13"/>
      <c r="H24" s="1008" t="s">
        <v>525</v>
      </c>
      <c r="I24" s="12"/>
      <c r="J24" s="968"/>
      <c r="K24" s="530"/>
      <c r="L24" s="1090"/>
      <c r="M24" s="1091"/>
      <c r="N24" s="1092"/>
      <c r="O24" s="1135" t="s">
        <v>526</v>
      </c>
      <c r="P24" s="1136" t="s">
        <v>527</v>
      </c>
    </row>
    <row r="25" ht="13.5" customHeight="1">
      <c r="A25" s="59"/>
      <c r="B25" s="265" t="s">
        <v>93</v>
      </c>
      <c r="C25" s="1137" t="s">
        <v>528</v>
      </c>
      <c r="D25" s="12"/>
      <c r="E25" s="12"/>
      <c r="F25" s="12"/>
      <c r="G25" s="12"/>
      <c r="H25" s="12"/>
      <c r="I25" s="12"/>
      <c r="J25" s="16"/>
      <c r="K25" s="1138" t="s">
        <v>529</v>
      </c>
      <c r="L25" s="40"/>
      <c r="M25" s="1139" t="s">
        <v>530</v>
      </c>
      <c r="N25" s="1140"/>
      <c r="O25" s="1141" t="s">
        <v>531</v>
      </c>
      <c r="P25" s="1142" t="s">
        <v>532</v>
      </c>
    </row>
    <row r="26" ht="13.5" customHeight="1">
      <c r="A26" s="211"/>
      <c r="B26" s="326" t="s">
        <v>94</v>
      </c>
      <c r="C26" s="1143"/>
      <c r="D26" s="538"/>
      <c r="E26" s="538"/>
      <c r="F26" s="1143"/>
      <c r="G26" s="538"/>
      <c r="H26" s="1143"/>
      <c r="I26" s="991"/>
      <c r="J26" s="1144" t="s">
        <v>467</v>
      </c>
      <c r="K26" s="1145" t="s">
        <v>533</v>
      </c>
      <c r="L26" s="46"/>
      <c r="M26" s="1146" t="s">
        <v>534</v>
      </c>
      <c r="N26" s="16"/>
      <c r="O26" s="1147"/>
      <c r="P26" s="1148"/>
    </row>
    <row r="27" ht="13.5" customHeight="1">
      <c r="A27" s="188" t="s">
        <v>114</v>
      </c>
      <c r="B27" s="253" t="s">
        <v>415</v>
      </c>
      <c r="C27" s="1149"/>
      <c r="D27" s="1150"/>
      <c r="E27" s="1151"/>
      <c r="F27" s="912"/>
      <c r="G27" s="914"/>
      <c r="H27" s="912"/>
      <c r="I27" s="914"/>
      <c r="J27" s="1087"/>
      <c r="K27" s="914"/>
      <c r="L27" s="1087"/>
      <c r="M27" s="1152"/>
      <c r="N27" s="1153"/>
      <c r="O27" s="1152"/>
      <c r="P27" s="1153"/>
    </row>
    <row r="28" ht="13.5" customHeight="1">
      <c r="A28" s="59"/>
      <c r="B28" s="265" t="s">
        <v>81</v>
      </c>
      <c r="C28" s="1149"/>
      <c r="D28" s="1150"/>
      <c r="E28" s="1151"/>
      <c r="F28" s="910"/>
      <c r="G28" s="530"/>
      <c r="H28" s="910"/>
      <c r="I28" s="530"/>
      <c r="J28" s="1090"/>
      <c r="K28" s="530"/>
      <c r="L28" s="1090"/>
      <c r="M28" s="1091"/>
      <c r="N28" s="1092"/>
      <c r="O28" s="1091"/>
      <c r="P28" s="1092"/>
    </row>
    <row r="29" ht="13.5" customHeight="1">
      <c r="A29" s="59"/>
      <c r="B29" s="265" t="s">
        <v>83</v>
      </c>
      <c r="C29" s="1149"/>
      <c r="D29" s="1150"/>
      <c r="E29" s="1151"/>
      <c r="F29" s="910"/>
      <c r="G29" s="530"/>
      <c r="H29" s="910"/>
      <c r="I29" s="530"/>
      <c r="J29" s="1090"/>
      <c r="K29" s="530"/>
      <c r="L29" s="1090"/>
      <c r="M29" s="1091"/>
      <c r="N29" s="1092"/>
      <c r="O29" s="910"/>
      <c r="P29" s="1090"/>
    </row>
    <row r="30" ht="13.5" customHeight="1">
      <c r="A30" s="59"/>
      <c r="B30" s="265" t="s">
        <v>87</v>
      </c>
      <c r="C30" s="1149"/>
      <c r="D30" s="1150"/>
      <c r="E30" s="1151"/>
      <c r="F30" s="910"/>
      <c r="G30" s="530"/>
      <c r="H30" s="910"/>
      <c r="I30" s="530"/>
      <c r="J30" s="1090"/>
      <c r="K30" s="530"/>
      <c r="L30" s="1090"/>
      <c r="M30" s="1091"/>
      <c r="N30" s="1154"/>
      <c r="O30" s="910"/>
      <c r="P30" s="1090"/>
    </row>
    <row r="31" ht="8.25" customHeight="1">
      <c r="A31" s="59"/>
      <c r="B31" s="926" t="s">
        <v>92</v>
      </c>
      <c r="C31" s="1155" t="s">
        <v>535</v>
      </c>
      <c r="E31" s="46"/>
      <c r="F31" s="1156" t="s">
        <v>536</v>
      </c>
      <c r="G31" s="33"/>
      <c r="H31" s="1103"/>
      <c r="I31" s="1050"/>
      <c r="J31" s="1131"/>
      <c r="K31" s="1103"/>
      <c r="L31" s="1131"/>
      <c r="M31" s="1157" t="s">
        <v>537</v>
      </c>
      <c r="N31" s="1158" t="s">
        <v>538</v>
      </c>
      <c r="O31" s="39"/>
      <c r="P31" s="1159" t="s">
        <v>539</v>
      </c>
    </row>
    <row r="32" ht="8.25" customHeight="1">
      <c r="A32" s="59"/>
      <c r="B32" s="679"/>
      <c r="C32" s="60"/>
      <c r="D32" s="38"/>
      <c r="E32" s="40"/>
      <c r="F32" s="60"/>
      <c r="G32" s="39"/>
      <c r="H32" s="28"/>
      <c r="I32" s="39"/>
      <c r="J32" s="40"/>
      <c r="K32" s="28"/>
      <c r="L32" s="40"/>
      <c r="M32" s="39"/>
      <c r="N32" s="290"/>
      <c r="O32" s="1160" t="s">
        <v>540</v>
      </c>
      <c r="P32" s="1161" t="s">
        <v>541</v>
      </c>
    </row>
    <row r="33" ht="9.0" customHeight="1">
      <c r="A33" s="59"/>
      <c r="B33" s="926" t="s">
        <v>93</v>
      </c>
      <c r="C33" s="1162" t="s">
        <v>542</v>
      </c>
      <c r="D33" s="45"/>
      <c r="E33" s="1163" t="s">
        <v>543</v>
      </c>
      <c r="F33" s="1164" t="s">
        <v>544</v>
      </c>
      <c r="G33" s="1165"/>
      <c r="H33" s="1103"/>
      <c r="I33" s="1050"/>
      <c r="J33" s="1131"/>
      <c r="K33" s="1103"/>
      <c r="L33" s="1131"/>
      <c r="M33" s="1166" t="s">
        <v>545</v>
      </c>
      <c r="N33" s="1167"/>
      <c r="O33" s="1141" t="s">
        <v>546</v>
      </c>
      <c r="P33" s="290"/>
    </row>
    <row r="34" ht="7.5" customHeight="1">
      <c r="A34" s="59"/>
      <c r="B34" s="679"/>
      <c r="C34" s="38"/>
      <c r="D34" s="39"/>
      <c r="E34" s="40"/>
      <c r="F34" s="60"/>
      <c r="G34" s="39"/>
      <c r="H34" s="28"/>
      <c r="I34" s="39"/>
      <c r="J34" s="40"/>
      <c r="K34" s="28"/>
      <c r="L34" s="40"/>
      <c r="M34" s="38"/>
      <c r="N34" s="40"/>
      <c r="O34" s="59"/>
      <c r="P34" s="1168"/>
    </row>
    <row r="35" ht="13.5" customHeight="1">
      <c r="A35" s="211"/>
      <c r="B35" s="291" t="s">
        <v>94</v>
      </c>
      <c r="C35" s="538"/>
      <c r="D35" s="538"/>
      <c r="E35" s="539"/>
      <c r="F35" s="1143"/>
      <c r="G35" s="1169"/>
      <c r="H35" s="1143"/>
      <c r="I35" s="538"/>
      <c r="J35" s="1169"/>
      <c r="K35" s="538"/>
      <c r="L35" s="1169"/>
      <c r="M35" s="538"/>
      <c r="N35" s="1169"/>
      <c r="O35" s="1170"/>
      <c r="P35" s="1148"/>
      <c r="Q35" s="991"/>
      <c r="R35" s="991"/>
      <c r="S35" s="991"/>
      <c r="T35" s="991"/>
      <c r="U35" s="991"/>
      <c r="V35" s="991"/>
      <c r="W35" s="991"/>
      <c r="X35" s="991"/>
      <c r="Y35" s="991"/>
      <c r="Z35" s="991"/>
      <c r="AA35" s="991"/>
      <c r="AB35" s="991"/>
      <c r="AC35" s="991"/>
      <c r="AD35" s="991"/>
    </row>
    <row r="36" ht="14.25" customHeight="1">
      <c r="A36" s="188" t="s">
        <v>125</v>
      </c>
      <c r="B36" s="253" t="s">
        <v>415</v>
      </c>
      <c r="C36" s="1058" t="s">
        <v>484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40"/>
      <c r="O36" s="1171" t="s">
        <v>547</v>
      </c>
      <c r="P36" s="1172" t="s">
        <v>548</v>
      </c>
    </row>
    <row r="37" ht="13.5" customHeight="1">
      <c r="A37" s="59"/>
      <c r="B37" s="265" t="s">
        <v>81</v>
      </c>
      <c r="C37" s="1173" t="s">
        <v>549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6"/>
      <c r="O37" s="910"/>
      <c r="P37" s="1174" t="s">
        <v>550</v>
      </c>
    </row>
    <row r="38" ht="13.5" customHeight="1">
      <c r="A38" s="59"/>
      <c r="B38" s="265" t="s">
        <v>83</v>
      </c>
      <c r="C38" s="910"/>
      <c r="D38" s="530"/>
      <c r="E38" s="911"/>
      <c r="F38" s="910"/>
      <c r="G38" s="530"/>
      <c r="H38" s="910"/>
      <c r="I38" s="911"/>
      <c r="J38" s="1090"/>
      <c r="K38" s="530"/>
      <c r="L38" s="1090"/>
      <c r="M38" s="1091"/>
      <c r="N38" s="1092"/>
      <c r="O38" s="910"/>
      <c r="P38" s="1090"/>
    </row>
    <row r="39" ht="13.5" customHeight="1">
      <c r="A39" s="59"/>
      <c r="B39" s="265" t="s">
        <v>87</v>
      </c>
      <c r="C39" s="910"/>
      <c r="D39" s="530"/>
      <c r="E39" s="911"/>
      <c r="F39" s="910"/>
      <c r="G39" s="530"/>
      <c r="H39" s="910"/>
      <c r="I39" s="911"/>
      <c r="J39" s="1090"/>
      <c r="K39" s="530"/>
      <c r="L39" s="1090"/>
      <c r="M39" s="1091"/>
      <c r="N39" s="1092"/>
      <c r="O39" s="910"/>
      <c r="P39" s="1090"/>
    </row>
    <row r="40" ht="13.5" customHeight="1">
      <c r="A40" s="59"/>
      <c r="B40" s="265" t="s">
        <v>92</v>
      </c>
      <c r="C40" s="910"/>
      <c r="D40" s="530"/>
      <c r="E40" s="911"/>
      <c r="F40" s="910"/>
      <c r="G40" s="530"/>
      <c r="H40" s="910"/>
      <c r="I40" s="911"/>
      <c r="J40" s="1090"/>
      <c r="K40" s="530"/>
      <c r="L40" s="497"/>
      <c r="M40" s="1091"/>
      <c r="N40" s="1092"/>
      <c r="O40" s="141"/>
      <c r="P40" s="145"/>
    </row>
    <row r="41" ht="15.0" customHeight="1">
      <c r="A41" s="59"/>
      <c r="B41" s="926" t="s">
        <v>93</v>
      </c>
      <c r="C41" s="470" t="s">
        <v>551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40"/>
    </row>
    <row r="42" ht="13.5" customHeight="1">
      <c r="A42" s="211"/>
      <c r="B42" s="1175" t="s">
        <v>94</v>
      </c>
      <c r="C42" s="1143"/>
      <c r="D42" s="538"/>
      <c r="E42" s="538"/>
      <c r="F42" s="1143"/>
      <c r="G42" s="1143"/>
      <c r="H42" s="1143"/>
      <c r="I42" s="539"/>
      <c r="J42" s="539"/>
      <c r="K42" s="1143"/>
      <c r="L42" s="1169"/>
      <c r="M42" s="538"/>
      <c r="N42" s="1169"/>
      <c r="O42" s="1176"/>
      <c r="P42" s="1148"/>
    </row>
    <row r="43" ht="13.5" customHeight="1">
      <c r="A43" s="1"/>
      <c r="B43" s="1075">
        <f>'1r'!C44</f>
        <v>45940</v>
      </c>
      <c r="C43" s="1076"/>
      <c r="D43" s="1"/>
      <c r="E43" s="1"/>
      <c r="F43" s="179" t="s">
        <v>494</v>
      </c>
      <c r="G43" s="179"/>
      <c r="H43" s="1"/>
      <c r="I43" s="1"/>
      <c r="J43" s="1"/>
      <c r="K43" s="1"/>
      <c r="L43" s="1"/>
      <c r="M43" s="179"/>
      <c r="N43" s="179"/>
    </row>
    <row r="44" ht="13.5" customHeight="1">
      <c r="A44" s="1"/>
      <c r="B44" s="74"/>
      <c r="C44" s="1"/>
      <c r="D44" s="1"/>
      <c r="E44" s="1"/>
      <c r="F44" s="1"/>
      <c r="G44" s="1"/>
      <c r="H44" s="1"/>
      <c r="I44" s="1"/>
      <c r="J44" s="1"/>
      <c r="K44" s="1"/>
      <c r="L44" s="1"/>
      <c r="M44" s="179"/>
      <c r="N44" s="179"/>
    </row>
    <row r="45" ht="12.75" customHeight="1">
      <c r="A45" s="1068" t="s">
        <v>486</v>
      </c>
      <c r="C45" s="1069" t="s">
        <v>487</v>
      </c>
      <c r="F45" s="1069" t="s">
        <v>488</v>
      </c>
      <c r="H45" s="1070" t="s">
        <v>489</v>
      </c>
      <c r="K45" s="1072" t="s">
        <v>491</v>
      </c>
      <c r="M45" s="1072" t="s">
        <v>492</v>
      </c>
      <c r="O45" s="1072" t="s">
        <v>493</v>
      </c>
      <c r="Q45" s="1072"/>
    </row>
    <row r="46" ht="13.5" customHeight="1">
      <c r="A46" s="1"/>
      <c r="B46" s="1"/>
      <c r="C46" s="1177"/>
      <c r="F46" s="1"/>
      <c r="G46" s="1"/>
      <c r="H46" s="1178"/>
      <c r="J46" s="1009"/>
      <c r="K46" s="1"/>
      <c r="L46" s="1"/>
      <c r="M46" s="179"/>
      <c r="N46" s="179"/>
    </row>
    <row r="47" ht="13.5" customHeight="1">
      <c r="A47" s="1"/>
      <c r="B47" s="1"/>
      <c r="C47" s="1179"/>
      <c r="E47" s="1179"/>
      <c r="F47" s="1"/>
      <c r="G47" s="1"/>
      <c r="H47" s="1180"/>
      <c r="K47" s="1"/>
      <c r="L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</row>
    <row r="5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  <row r="60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</row>
    <row r="6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</row>
    <row r="1001">
      <c r="A1001" s="74"/>
      <c r="B1001" s="74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</row>
    <row r="1002">
      <c r="A1002" s="74"/>
      <c r="B1002" s="74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</row>
    <row r="1003">
      <c r="A1003" s="74"/>
      <c r="B1003" s="74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</row>
    <row r="1004">
      <c r="A1004" s="74"/>
      <c r="B1004" s="74"/>
      <c r="C1004" s="74"/>
      <c r="D1004" s="74"/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</row>
    <row r="1005">
      <c r="A1005" s="74"/>
      <c r="B1005" s="74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</row>
  </sheetData>
  <mergeCells count="102">
    <mergeCell ref="O2:P3"/>
    <mergeCell ref="O4:P4"/>
    <mergeCell ref="K9:L9"/>
    <mergeCell ref="M9:N9"/>
    <mergeCell ref="B1:N1"/>
    <mergeCell ref="C2:E2"/>
    <mergeCell ref="H2:J2"/>
    <mergeCell ref="K2:L3"/>
    <mergeCell ref="M2:N3"/>
    <mergeCell ref="C3:D3"/>
    <mergeCell ref="H3:I3"/>
    <mergeCell ref="F2:G2"/>
    <mergeCell ref="F3:G3"/>
    <mergeCell ref="A4:A11"/>
    <mergeCell ref="C8:E8"/>
    <mergeCell ref="C9:D9"/>
    <mergeCell ref="B10:B11"/>
    <mergeCell ref="C10:C11"/>
    <mergeCell ref="N10:N11"/>
    <mergeCell ref="O10:O11"/>
    <mergeCell ref="P10:P11"/>
    <mergeCell ref="O15:P15"/>
    <mergeCell ref="F10:F11"/>
    <mergeCell ref="G10:G11"/>
    <mergeCell ref="H10:H11"/>
    <mergeCell ref="I10:I11"/>
    <mergeCell ref="J10:J11"/>
    <mergeCell ref="K10:L11"/>
    <mergeCell ref="M10:M11"/>
    <mergeCell ref="M17:N17"/>
    <mergeCell ref="O17:P17"/>
    <mergeCell ref="H16:I16"/>
    <mergeCell ref="K16:L16"/>
    <mergeCell ref="M16:N16"/>
    <mergeCell ref="O16:P16"/>
    <mergeCell ref="F17:G17"/>
    <mergeCell ref="H17:J17"/>
    <mergeCell ref="K17:L17"/>
    <mergeCell ref="H33:H34"/>
    <mergeCell ref="I33:I34"/>
    <mergeCell ref="H45:J45"/>
    <mergeCell ref="K45:L45"/>
    <mergeCell ref="M45:N45"/>
    <mergeCell ref="O45:P45"/>
    <mergeCell ref="H46:I46"/>
    <mergeCell ref="H47:J47"/>
    <mergeCell ref="A27:A35"/>
    <mergeCell ref="B31:B32"/>
    <mergeCell ref="C31:E32"/>
    <mergeCell ref="F31:G32"/>
    <mergeCell ref="H31:H32"/>
    <mergeCell ref="I31:I32"/>
    <mergeCell ref="J31:J32"/>
    <mergeCell ref="J33:J34"/>
    <mergeCell ref="C46:E46"/>
    <mergeCell ref="C47:D47"/>
    <mergeCell ref="E33:E34"/>
    <mergeCell ref="F33:G34"/>
    <mergeCell ref="A36:A42"/>
    <mergeCell ref="B43:C43"/>
    <mergeCell ref="A45:B45"/>
    <mergeCell ref="C45:E45"/>
    <mergeCell ref="F45:G45"/>
    <mergeCell ref="O18:O19"/>
    <mergeCell ref="P18:P19"/>
    <mergeCell ref="D18:D19"/>
    <mergeCell ref="E18:E19"/>
    <mergeCell ref="F18:G19"/>
    <mergeCell ref="H18:J19"/>
    <mergeCell ref="K18:L19"/>
    <mergeCell ref="M18:M19"/>
    <mergeCell ref="N18:N19"/>
    <mergeCell ref="K26:L26"/>
    <mergeCell ref="M26:N26"/>
    <mergeCell ref="C18:C19"/>
    <mergeCell ref="C23:D23"/>
    <mergeCell ref="F24:G24"/>
    <mergeCell ref="H24:I24"/>
    <mergeCell ref="C25:J25"/>
    <mergeCell ref="K25:L25"/>
    <mergeCell ref="M25:N25"/>
    <mergeCell ref="D10:D11"/>
    <mergeCell ref="E10:E11"/>
    <mergeCell ref="A12:A19"/>
    <mergeCell ref="C16:E16"/>
    <mergeCell ref="C17:D17"/>
    <mergeCell ref="B18:B19"/>
    <mergeCell ref="A20:A26"/>
    <mergeCell ref="B33:B34"/>
    <mergeCell ref="C33:D34"/>
    <mergeCell ref="M33:N34"/>
    <mergeCell ref="O33:O34"/>
    <mergeCell ref="C36:N36"/>
    <mergeCell ref="C37:N37"/>
    <mergeCell ref="C41:P41"/>
    <mergeCell ref="K31:K32"/>
    <mergeCell ref="L31:L32"/>
    <mergeCell ref="M31:M32"/>
    <mergeCell ref="N31:N32"/>
    <mergeCell ref="P32:P33"/>
    <mergeCell ref="K33:K34"/>
    <mergeCell ref="L33:L3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3.88"/>
    <col customWidth="1" min="3" max="3" width="10.88"/>
    <col customWidth="1" min="4" max="4" width="45.88"/>
    <col customWidth="1" min="5" max="25" width="15.13"/>
  </cols>
  <sheetData>
    <row r="1" ht="12.75" customHeight="1">
      <c r="A1" s="1"/>
      <c r="B1" s="249" t="s">
        <v>552</v>
      </c>
    </row>
    <row r="2" ht="12.75" customHeight="1">
      <c r="A2" s="1"/>
      <c r="B2" s="179"/>
      <c r="C2" s="179"/>
      <c r="D2" s="1181" t="s">
        <v>553</v>
      </c>
    </row>
    <row r="3" ht="12.75" customHeight="1">
      <c r="A3" s="1"/>
      <c r="B3" s="179"/>
      <c r="C3" s="179"/>
      <c r="D3" s="1182" t="s">
        <v>554</v>
      </c>
    </row>
    <row r="4" ht="12.75" customHeight="1">
      <c r="A4" s="1"/>
      <c r="B4" s="188" t="s">
        <v>74</v>
      </c>
      <c r="C4" s="1183" t="s">
        <v>415</v>
      </c>
      <c r="D4" s="1184" t="s">
        <v>555</v>
      </c>
    </row>
    <row r="5" ht="12.75" customHeight="1">
      <c r="A5" s="1"/>
      <c r="B5" s="59"/>
      <c r="C5" s="1185" t="s">
        <v>81</v>
      </c>
      <c r="D5" s="1184" t="s">
        <v>179</v>
      </c>
    </row>
    <row r="6" ht="12.75" customHeight="1">
      <c r="A6" s="1"/>
      <c r="B6" s="59"/>
      <c r="C6" s="1185" t="s">
        <v>83</v>
      </c>
      <c r="D6" s="1186" t="s">
        <v>556</v>
      </c>
    </row>
    <row r="7" ht="12.75" customHeight="1">
      <c r="A7" s="1"/>
      <c r="B7" s="59"/>
      <c r="C7" s="1185" t="s">
        <v>87</v>
      </c>
      <c r="D7" s="1187"/>
    </row>
    <row r="8" ht="12.75" customHeight="1">
      <c r="A8" s="1"/>
      <c r="B8" s="59"/>
      <c r="C8" s="1185" t="s">
        <v>92</v>
      </c>
      <c r="D8" s="1187"/>
    </row>
    <row r="9" ht="12.75" customHeight="1">
      <c r="A9" s="1"/>
      <c r="B9" s="211"/>
      <c r="C9" s="1188" t="s">
        <v>93</v>
      </c>
      <c r="D9" s="46"/>
    </row>
    <row r="10" ht="12.75" customHeight="1">
      <c r="A10" s="1"/>
      <c r="B10" s="188" t="s">
        <v>95</v>
      </c>
      <c r="C10" s="1189" t="s">
        <v>415</v>
      </c>
      <c r="D10" s="1190"/>
    </row>
    <row r="11" ht="12.75" customHeight="1">
      <c r="A11" s="1"/>
      <c r="B11" s="59"/>
      <c r="C11" s="1189" t="s">
        <v>81</v>
      </c>
      <c r="D11" s="1191" t="s">
        <v>557</v>
      </c>
    </row>
    <row r="12" ht="12.75" customHeight="1">
      <c r="A12" s="1"/>
      <c r="B12" s="59"/>
      <c r="C12" s="1189" t="s">
        <v>83</v>
      </c>
      <c r="D12" s="1192" t="s">
        <v>558</v>
      </c>
    </row>
    <row r="13" ht="12.75" customHeight="1">
      <c r="A13" s="1"/>
      <c r="B13" s="59"/>
      <c r="C13" s="1189" t="s">
        <v>87</v>
      </c>
      <c r="D13" s="1193"/>
    </row>
    <row r="14" ht="12.75" customHeight="1">
      <c r="A14" s="1"/>
      <c r="B14" s="59"/>
      <c r="C14" s="1189" t="s">
        <v>92</v>
      </c>
      <c r="D14" s="1193"/>
    </row>
    <row r="15" ht="12.75" customHeight="1">
      <c r="A15" s="1"/>
      <c r="B15" s="211"/>
      <c r="C15" s="1194" t="s">
        <v>93</v>
      </c>
      <c r="D15" s="1195"/>
    </row>
    <row r="16" ht="12.75" customHeight="1">
      <c r="A16" s="1"/>
      <c r="B16" s="188" t="s">
        <v>110</v>
      </c>
      <c r="C16" s="1183" t="s">
        <v>415</v>
      </c>
      <c r="D16" s="1190"/>
    </row>
    <row r="17" ht="12.75" customHeight="1">
      <c r="A17" s="1"/>
      <c r="B17" s="59"/>
      <c r="C17" s="1189" t="s">
        <v>81</v>
      </c>
      <c r="D17" s="1193"/>
    </row>
    <row r="18" ht="12.75" customHeight="1">
      <c r="A18" s="1"/>
      <c r="B18" s="59"/>
      <c r="C18" s="1189" t="s">
        <v>83</v>
      </c>
      <c r="D18" s="1193"/>
    </row>
    <row r="19" ht="12.75" customHeight="1">
      <c r="A19" s="1"/>
      <c r="B19" s="59"/>
      <c r="C19" s="1189" t="s">
        <v>87</v>
      </c>
      <c r="D19" s="1193"/>
    </row>
    <row r="20" ht="12.75" customHeight="1">
      <c r="A20" s="1"/>
      <c r="B20" s="59"/>
      <c r="C20" s="1189" t="s">
        <v>92</v>
      </c>
      <c r="D20" s="1193"/>
    </row>
    <row r="21" ht="12.75" customHeight="1">
      <c r="A21" s="1"/>
      <c r="B21" s="59"/>
      <c r="C21" s="1189" t="s">
        <v>93</v>
      </c>
      <c r="D21" s="1196" t="s">
        <v>559</v>
      </c>
    </row>
    <row r="22" ht="12.75" customHeight="1">
      <c r="A22" s="1"/>
      <c r="B22" s="211"/>
      <c r="C22" s="1194" t="s">
        <v>94</v>
      </c>
      <c r="D22" s="1197" t="s">
        <v>560</v>
      </c>
    </row>
    <row r="23" ht="12.75" customHeight="1">
      <c r="A23" s="1"/>
      <c r="B23" s="188" t="s">
        <v>114</v>
      </c>
      <c r="C23" s="1183" t="s">
        <v>415</v>
      </c>
      <c r="D23" s="1190"/>
    </row>
    <row r="24" ht="12.75" customHeight="1">
      <c r="A24" s="1"/>
      <c r="B24" s="59"/>
      <c r="C24" s="1189" t="s">
        <v>81</v>
      </c>
      <c r="D24" s="1193"/>
    </row>
    <row r="25" ht="12.75" customHeight="1">
      <c r="A25" s="1"/>
      <c r="B25" s="59"/>
      <c r="C25" s="1189" t="s">
        <v>83</v>
      </c>
      <c r="D25" s="1198"/>
    </row>
    <row r="26" ht="12.75" customHeight="1">
      <c r="A26" s="1"/>
      <c r="B26" s="59"/>
      <c r="C26" s="1189" t="s">
        <v>87</v>
      </c>
      <c r="D26" s="1198"/>
    </row>
    <row r="27" ht="12.75" customHeight="1">
      <c r="A27" s="1"/>
      <c r="B27" s="59"/>
      <c r="C27" s="1189" t="s">
        <v>92</v>
      </c>
      <c r="D27" s="1191" t="s">
        <v>561</v>
      </c>
    </row>
    <row r="28" ht="12.75" customHeight="1">
      <c r="A28" s="1"/>
      <c r="B28" s="211"/>
      <c r="C28" s="1194" t="s">
        <v>93</v>
      </c>
      <c r="D28" s="1195"/>
    </row>
    <row r="29" ht="12.75" customHeight="1">
      <c r="A29" s="1"/>
      <c r="B29" s="188" t="s">
        <v>125</v>
      </c>
      <c r="C29" s="1183" t="s">
        <v>415</v>
      </c>
      <c r="D29" s="46"/>
    </row>
    <row r="30" ht="12.75" customHeight="1">
      <c r="A30" s="1"/>
      <c r="B30" s="59"/>
      <c r="C30" s="1189" t="s">
        <v>81</v>
      </c>
      <c r="D30" s="1193"/>
    </row>
    <row r="31" ht="12.75" customHeight="1">
      <c r="A31" s="1"/>
      <c r="B31" s="59"/>
      <c r="C31" s="1189" t="s">
        <v>83</v>
      </c>
      <c r="D31" s="46"/>
    </row>
    <row r="32" ht="12.75" customHeight="1">
      <c r="A32" s="1"/>
      <c r="B32" s="59"/>
      <c r="C32" s="1189" t="s">
        <v>87</v>
      </c>
      <c r="D32" s="1193"/>
    </row>
    <row r="33" ht="12.75" customHeight="1">
      <c r="A33" s="1"/>
      <c r="B33" s="59"/>
      <c r="C33" s="1189" t="s">
        <v>92</v>
      </c>
      <c r="D33" s="1199"/>
    </row>
    <row r="34" ht="12.75" customHeight="1">
      <c r="A34" s="1"/>
      <c r="B34" s="211"/>
      <c r="C34" s="1194" t="s">
        <v>93</v>
      </c>
      <c r="D34" s="1200" t="s">
        <v>562</v>
      </c>
    </row>
    <row r="35" ht="12.75" customHeight="1">
      <c r="A35" s="1"/>
      <c r="B35" s="1201" t="s">
        <v>486</v>
      </c>
      <c r="C35" s="1201"/>
      <c r="D35" s="1202" t="s">
        <v>563</v>
      </c>
    </row>
    <row r="36" ht="12.75" customHeight="1">
      <c r="A36" s="1"/>
      <c r="B36" s="1"/>
      <c r="C36" s="1"/>
      <c r="D36" s="1"/>
    </row>
    <row r="37" ht="12.75" customHeight="1">
      <c r="A37" s="74"/>
      <c r="B37" s="74"/>
      <c r="C37" s="74"/>
      <c r="D37" s="74"/>
    </row>
    <row r="38" ht="12.75" customHeight="1">
      <c r="A38" s="74"/>
      <c r="B38" s="74"/>
      <c r="C38" s="74"/>
      <c r="D38" s="74"/>
    </row>
    <row r="39" ht="12.75" customHeight="1">
      <c r="A39" s="74"/>
      <c r="B39" s="74"/>
      <c r="C39" s="74"/>
      <c r="D39" s="74"/>
    </row>
    <row r="40" ht="12.75" customHeight="1">
      <c r="A40" s="74"/>
      <c r="B40" s="74"/>
      <c r="C40" s="74"/>
      <c r="D40" s="74"/>
    </row>
    <row r="41" ht="12.75" customHeight="1">
      <c r="A41" s="74"/>
      <c r="B41" s="74"/>
      <c r="C41" s="74"/>
      <c r="D41" s="74"/>
    </row>
    <row r="42" ht="12.75" customHeight="1">
      <c r="A42" s="74"/>
      <c r="B42" s="74"/>
      <c r="C42" s="74"/>
      <c r="D42" s="74"/>
    </row>
    <row r="43" ht="12.75" customHeight="1">
      <c r="A43" s="74"/>
      <c r="B43" s="74"/>
      <c r="C43" s="74"/>
      <c r="D43" s="74"/>
    </row>
    <row r="44" ht="12.75" customHeight="1">
      <c r="A44" s="74"/>
      <c r="B44" s="74"/>
      <c r="C44" s="74"/>
      <c r="D44" s="74"/>
    </row>
    <row r="45" ht="12.75" customHeight="1">
      <c r="A45" s="74"/>
      <c r="B45" s="74"/>
      <c r="C45" s="74"/>
      <c r="D45" s="74"/>
    </row>
    <row r="46" ht="12.75" customHeight="1">
      <c r="A46" s="74"/>
      <c r="B46" s="74"/>
      <c r="C46" s="74"/>
      <c r="D46" s="74"/>
    </row>
    <row r="47" ht="12.75" customHeight="1">
      <c r="A47" s="74"/>
      <c r="B47" s="74"/>
      <c r="C47" s="74"/>
      <c r="D47" s="74"/>
    </row>
    <row r="48" ht="12.75" customHeight="1">
      <c r="A48" s="74"/>
      <c r="B48" s="74"/>
      <c r="C48" s="74"/>
      <c r="D48" s="74"/>
    </row>
    <row r="49" ht="12.75" customHeight="1">
      <c r="A49" s="74"/>
      <c r="B49" s="74"/>
      <c r="C49" s="74"/>
      <c r="D49" s="74"/>
    </row>
    <row r="50" ht="12.75" customHeight="1">
      <c r="A50" s="74"/>
      <c r="B50" s="74"/>
      <c r="C50" s="74"/>
      <c r="D50" s="74"/>
    </row>
    <row r="51" ht="12.75" customHeight="1">
      <c r="A51" s="74"/>
      <c r="B51" s="74"/>
      <c r="C51" s="74"/>
      <c r="D51" s="74"/>
    </row>
    <row r="52" ht="12.75" customHeight="1">
      <c r="A52" s="74"/>
      <c r="B52" s="74"/>
      <c r="C52" s="74"/>
      <c r="D52" s="74"/>
    </row>
    <row r="53" ht="12.75" customHeight="1">
      <c r="A53" s="74"/>
      <c r="B53" s="74"/>
      <c r="C53" s="74"/>
      <c r="D53" s="74"/>
    </row>
    <row r="54" ht="12.75" customHeight="1">
      <c r="A54" s="74"/>
      <c r="B54" s="74"/>
      <c r="C54" s="74"/>
      <c r="D54" s="74"/>
    </row>
    <row r="55" ht="12.75" customHeight="1">
      <c r="A55" s="74"/>
      <c r="B55" s="74"/>
      <c r="C55" s="74"/>
      <c r="D55" s="74"/>
    </row>
    <row r="56" ht="12.75" customHeight="1">
      <c r="A56" s="74"/>
      <c r="B56" s="74"/>
      <c r="C56" s="74"/>
      <c r="D56" s="74"/>
    </row>
    <row r="57" ht="12.75" customHeight="1">
      <c r="A57" s="74"/>
      <c r="B57" s="74"/>
      <c r="C57" s="74"/>
      <c r="D57" s="74"/>
    </row>
    <row r="58" ht="12.75" customHeight="1">
      <c r="A58" s="74"/>
      <c r="B58" s="74"/>
      <c r="C58" s="74"/>
      <c r="D58" s="74"/>
    </row>
    <row r="59" ht="12.75" customHeight="1">
      <c r="A59" s="74"/>
      <c r="B59" s="74"/>
      <c r="C59" s="74"/>
      <c r="D59" s="74"/>
    </row>
    <row r="60" ht="12.75" customHeight="1">
      <c r="A60" s="74"/>
      <c r="B60" s="74"/>
      <c r="C60" s="74"/>
      <c r="D60" s="74"/>
    </row>
    <row r="61" ht="12.75" customHeight="1">
      <c r="A61" s="74"/>
      <c r="B61" s="74"/>
      <c r="C61" s="74"/>
      <c r="D61" s="74"/>
    </row>
    <row r="62" ht="12.75" customHeight="1">
      <c r="A62" s="74"/>
      <c r="B62" s="74"/>
      <c r="C62" s="74"/>
      <c r="D62" s="74"/>
    </row>
    <row r="63" ht="12.75" customHeight="1">
      <c r="A63" s="74"/>
      <c r="B63" s="74"/>
      <c r="C63" s="74"/>
      <c r="D63" s="74"/>
    </row>
    <row r="64" ht="12.75" customHeight="1">
      <c r="A64" s="74"/>
      <c r="B64" s="74"/>
      <c r="C64" s="74"/>
      <c r="D64" s="74"/>
    </row>
    <row r="65" ht="12.75" customHeight="1">
      <c r="A65" s="74"/>
      <c r="B65" s="74"/>
      <c r="C65" s="74"/>
      <c r="D65" s="74"/>
    </row>
    <row r="66" ht="12.75" customHeight="1">
      <c r="A66" s="74"/>
      <c r="B66" s="74"/>
      <c r="C66" s="74"/>
      <c r="D66" s="74"/>
    </row>
    <row r="67" ht="12.75" customHeight="1">
      <c r="A67" s="74"/>
      <c r="B67" s="74"/>
      <c r="C67" s="74"/>
      <c r="D67" s="74"/>
    </row>
    <row r="68" ht="12.75" customHeight="1">
      <c r="A68" s="74"/>
      <c r="B68" s="74"/>
      <c r="C68" s="74"/>
      <c r="D68" s="74"/>
    </row>
    <row r="69" ht="12.75" customHeight="1">
      <c r="A69" s="74"/>
      <c r="B69" s="74"/>
      <c r="C69" s="74"/>
      <c r="D69" s="74"/>
    </row>
    <row r="70" ht="12.75" customHeight="1">
      <c r="A70" s="74"/>
      <c r="B70" s="74"/>
      <c r="C70" s="74"/>
      <c r="D70" s="74"/>
    </row>
    <row r="71" ht="12.75" customHeight="1">
      <c r="A71" s="74"/>
      <c r="B71" s="74"/>
      <c r="C71" s="74"/>
      <c r="D71" s="74"/>
    </row>
    <row r="72" ht="12.75" customHeight="1">
      <c r="A72" s="74"/>
      <c r="B72" s="74"/>
      <c r="C72" s="74"/>
      <c r="D72" s="74"/>
    </row>
    <row r="73" ht="12.75" customHeight="1">
      <c r="A73" s="74"/>
      <c r="B73" s="74"/>
      <c r="C73" s="74"/>
      <c r="D73" s="74"/>
    </row>
    <row r="74" ht="12.75" customHeight="1">
      <c r="A74" s="74"/>
      <c r="B74" s="74"/>
      <c r="C74" s="74"/>
      <c r="D74" s="74"/>
    </row>
    <row r="75" ht="12.75" customHeight="1">
      <c r="A75" s="74"/>
      <c r="B75" s="74"/>
      <c r="C75" s="74"/>
      <c r="D75" s="74"/>
    </row>
    <row r="76" ht="12.75" customHeight="1">
      <c r="A76" s="74"/>
      <c r="B76" s="74"/>
      <c r="C76" s="74"/>
      <c r="D76" s="74"/>
    </row>
    <row r="77" ht="12.75" customHeight="1">
      <c r="A77" s="74"/>
      <c r="B77" s="74"/>
      <c r="C77" s="74"/>
      <c r="D77" s="74"/>
    </row>
    <row r="78" ht="12.75" customHeight="1">
      <c r="A78" s="74"/>
      <c r="B78" s="74"/>
      <c r="C78" s="74"/>
      <c r="D78" s="74"/>
    </row>
    <row r="79" ht="12.75" customHeight="1">
      <c r="A79" s="74"/>
      <c r="B79" s="74"/>
      <c r="C79" s="74"/>
      <c r="D79" s="74"/>
    </row>
    <row r="80" ht="12.75" customHeight="1">
      <c r="A80" s="74"/>
      <c r="B80" s="74"/>
      <c r="C80" s="74"/>
      <c r="D80" s="74"/>
    </row>
    <row r="81" ht="12.75" customHeight="1">
      <c r="A81" s="74"/>
      <c r="B81" s="74"/>
      <c r="C81" s="74"/>
      <c r="D81" s="74"/>
    </row>
    <row r="82" ht="12.75" customHeight="1">
      <c r="A82" s="74"/>
      <c r="B82" s="74"/>
      <c r="C82" s="74"/>
      <c r="D82" s="74"/>
    </row>
    <row r="83" ht="12.75" customHeight="1">
      <c r="A83" s="74"/>
      <c r="B83" s="74"/>
      <c r="C83" s="74"/>
      <c r="D83" s="74"/>
    </row>
    <row r="84" ht="12.75" customHeight="1">
      <c r="A84" s="74"/>
      <c r="B84" s="74"/>
      <c r="C84" s="74"/>
      <c r="D84" s="74"/>
    </row>
    <row r="85" ht="12.75" customHeight="1">
      <c r="A85" s="74"/>
      <c r="B85" s="74"/>
      <c r="C85" s="74"/>
      <c r="D85" s="74"/>
    </row>
    <row r="86" ht="12.75" customHeight="1">
      <c r="A86" s="74"/>
      <c r="B86" s="74"/>
      <c r="C86" s="74"/>
      <c r="D86" s="74"/>
    </row>
    <row r="87" ht="12.75" customHeight="1">
      <c r="A87" s="74"/>
      <c r="B87" s="74"/>
      <c r="C87" s="74"/>
      <c r="D87" s="74"/>
    </row>
    <row r="88" ht="12.75" customHeight="1">
      <c r="A88" s="74"/>
      <c r="B88" s="74"/>
      <c r="C88" s="74"/>
      <c r="D88" s="74"/>
    </row>
    <row r="89" ht="12.75" customHeight="1">
      <c r="A89" s="74"/>
      <c r="B89" s="74"/>
      <c r="C89" s="74"/>
      <c r="D89" s="74"/>
    </row>
    <row r="90" ht="12.75" customHeight="1">
      <c r="A90" s="74"/>
      <c r="B90" s="74"/>
      <c r="C90" s="74"/>
      <c r="D90" s="74"/>
    </row>
    <row r="91" ht="12.75" customHeight="1">
      <c r="A91" s="74"/>
      <c r="B91" s="74"/>
      <c r="C91" s="74"/>
      <c r="D91" s="74"/>
    </row>
    <row r="92" ht="12.75" customHeight="1">
      <c r="A92" s="74"/>
      <c r="B92" s="74"/>
      <c r="C92" s="74"/>
      <c r="D92" s="74"/>
    </row>
    <row r="93" ht="12.75" customHeight="1">
      <c r="A93" s="74"/>
      <c r="B93" s="74"/>
      <c r="C93" s="74"/>
      <c r="D93" s="74"/>
    </row>
    <row r="94" ht="12.75" customHeight="1">
      <c r="A94" s="74"/>
      <c r="B94" s="74"/>
      <c r="C94" s="74"/>
      <c r="D94" s="74"/>
    </row>
    <row r="95" ht="12.75" customHeight="1">
      <c r="A95" s="74"/>
      <c r="B95" s="74"/>
      <c r="C95" s="74"/>
      <c r="D95" s="74"/>
    </row>
    <row r="96" ht="12.75" customHeight="1">
      <c r="A96" s="74"/>
      <c r="B96" s="74"/>
      <c r="C96" s="74"/>
      <c r="D96" s="74"/>
    </row>
    <row r="97" ht="12.75" customHeight="1">
      <c r="A97" s="74"/>
      <c r="B97" s="74"/>
      <c r="C97" s="74"/>
      <c r="D97" s="74"/>
    </row>
    <row r="98" ht="12.75" customHeight="1">
      <c r="A98" s="74"/>
      <c r="B98" s="74"/>
      <c r="C98" s="74"/>
      <c r="D98" s="74"/>
    </row>
    <row r="99" ht="12.75" customHeight="1">
      <c r="A99" s="74"/>
      <c r="B99" s="74"/>
      <c r="C99" s="74"/>
      <c r="D99" s="74"/>
    </row>
    <row r="100" ht="12.75" customHeight="1">
      <c r="A100" s="74"/>
      <c r="B100" s="74"/>
      <c r="C100" s="74"/>
      <c r="D100" s="74"/>
    </row>
    <row r="101" ht="12.75" customHeight="1">
      <c r="A101" s="74"/>
      <c r="B101" s="74"/>
      <c r="C101" s="74"/>
      <c r="D101" s="74"/>
    </row>
    <row r="102" ht="12.75" customHeight="1">
      <c r="A102" s="74"/>
      <c r="B102" s="74"/>
      <c r="C102" s="74"/>
      <c r="D102" s="74"/>
    </row>
    <row r="103" ht="12.75" customHeight="1">
      <c r="A103" s="74"/>
      <c r="B103" s="74"/>
      <c r="C103" s="74"/>
      <c r="D103" s="74"/>
    </row>
    <row r="104" ht="12.75" customHeight="1">
      <c r="A104" s="74"/>
      <c r="B104" s="74"/>
      <c r="C104" s="74"/>
      <c r="D104" s="74"/>
    </row>
    <row r="105" ht="12.75" customHeight="1">
      <c r="A105" s="74"/>
      <c r="B105" s="74"/>
      <c r="C105" s="74"/>
      <c r="D105" s="74"/>
    </row>
    <row r="106" ht="12.75" customHeight="1">
      <c r="A106" s="74"/>
      <c r="B106" s="74"/>
      <c r="C106" s="74"/>
      <c r="D106" s="74"/>
    </row>
    <row r="107" ht="12.75" customHeight="1">
      <c r="A107" s="74"/>
      <c r="B107" s="74"/>
      <c r="C107" s="74"/>
      <c r="D107" s="74"/>
    </row>
    <row r="108" ht="12.75" customHeight="1">
      <c r="A108" s="74"/>
      <c r="B108" s="74"/>
      <c r="C108" s="74"/>
      <c r="D108" s="74"/>
    </row>
    <row r="109" ht="12.75" customHeight="1">
      <c r="A109" s="74"/>
      <c r="B109" s="74"/>
      <c r="C109" s="74"/>
      <c r="D109" s="74"/>
    </row>
    <row r="110" ht="12.75" customHeight="1">
      <c r="A110" s="74"/>
      <c r="B110" s="74"/>
      <c r="C110" s="74"/>
      <c r="D110" s="74"/>
    </row>
    <row r="111" ht="12.75" customHeight="1">
      <c r="A111" s="74"/>
      <c r="B111" s="74"/>
      <c r="C111" s="74"/>
      <c r="D111" s="74"/>
    </row>
    <row r="112" ht="12.75" customHeight="1">
      <c r="A112" s="74"/>
      <c r="B112" s="74"/>
      <c r="C112" s="74"/>
      <c r="D112" s="74"/>
    </row>
    <row r="113" ht="12.75" customHeight="1">
      <c r="A113" s="74"/>
      <c r="B113" s="74"/>
      <c r="C113" s="74"/>
      <c r="D113" s="74"/>
    </row>
    <row r="114" ht="12.75" customHeight="1">
      <c r="A114" s="74"/>
      <c r="B114" s="74"/>
      <c r="C114" s="74"/>
      <c r="D114" s="74"/>
    </row>
    <row r="115" ht="12.75" customHeight="1">
      <c r="A115" s="74"/>
      <c r="B115" s="74"/>
      <c r="C115" s="74"/>
      <c r="D115" s="74"/>
    </row>
    <row r="116" ht="12.75" customHeight="1">
      <c r="A116" s="74"/>
      <c r="B116" s="74"/>
      <c r="C116" s="74"/>
      <c r="D116" s="74"/>
    </row>
    <row r="117" ht="12.75" customHeight="1">
      <c r="A117" s="74"/>
      <c r="B117" s="74"/>
      <c r="C117" s="74"/>
      <c r="D117" s="74"/>
    </row>
    <row r="118" ht="12.75" customHeight="1">
      <c r="A118" s="74"/>
      <c r="B118" s="74"/>
      <c r="C118" s="74"/>
      <c r="D118" s="74"/>
    </row>
    <row r="119" ht="12.75" customHeight="1">
      <c r="A119" s="74"/>
      <c r="B119" s="74"/>
      <c r="C119" s="74"/>
      <c r="D119" s="74"/>
    </row>
    <row r="120" ht="12.75" customHeight="1">
      <c r="A120" s="74"/>
      <c r="B120" s="74"/>
      <c r="C120" s="74"/>
      <c r="D120" s="74"/>
    </row>
    <row r="121" ht="12.75" customHeight="1">
      <c r="A121" s="74"/>
      <c r="B121" s="74"/>
      <c r="C121" s="74"/>
      <c r="D121" s="74"/>
    </row>
    <row r="122" ht="12.75" customHeight="1">
      <c r="A122" s="74"/>
      <c r="B122" s="74"/>
      <c r="C122" s="74"/>
      <c r="D122" s="74"/>
    </row>
    <row r="123" ht="12.75" customHeight="1">
      <c r="A123" s="74"/>
      <c r="B123" s="74"/>
      <c r="C123" s="74"/>
      <c r="D123" s="74"/>
    </row>
    <row r="124" ht="12.75" customHeight="1">
      <c r="A124" s="74"/>
      <c r="B124" s="74"/>
      <c r="C124" s="74"/>
      <c r="D124" s="74"/>
    </row>
    <row r="125" ht="12.75" customHeight="1">
      <c r="A125" s="74"/>
      <c r="B125" s="74"/>
      <c r="C125" s="74"/>
      <c r="D125" s="74"/>
    </row>
    <row r="126" ht="12.75" customHeight="1">
      <c r="A126" s="74"/>
      <c r="B126" s="74"/>
      <c r="C126" s="74"/>
      <c r="D126" s="74"/>
    </row>
    <row r="127" ht="12.75" customHeight="1">
      <c r="A127" s="74"/>
      <c r="B127" s="74"/>
      <c r="C127" s="74"/>
      <c r="D127" s="74"/>
    </row>
    <row r="128" ht="12.75" customHeight="1">
      <c r="A128" s="74"/>
      <c r="B128" s="74"/>
      <c r="C128" s="74"/>
      <c r="D128" s="74"/>
    </row>
    <row r="129" ht="12.75" customHeight="1">
      <c r="A129" s="74"/>
      <c r="B129" s="74"/>
      <c r="C129" s="74"/>
      <c r="D129" s="74"/>
    </row>
    <row r="130" ht="12.75" customHeight="1">
      <c r="A130" s="74"/>
      <c r="B130" s="74"/>
      <c r="C130" s="74"/>
      <c r="D130" s="74"/>
    </row>
    <row r="131" ht="12.75" customHeight="1">
      <c r="A131" s="74"/>
      <c r="B131" s="74"/>
      <c r="C131" s="74"/>
      <c r="D131" s="74"/>
    </row>
    <row r="132" ht="12.75" customHeight="1">
      <c r="A132" s="74"/>
      <c r="B132" s="74"/>
      <c r="C132" s="74"/>
      <c r="D132" s="74"/>
    </row>
    <row r="133" ht="12.75" customHeight="1">
      <c r="A133" s="74"/>
      <c r="B133" s="74"/>
      <c r="C133" s="74"/>
      <c r="D133" s="74"/>
    </row>
    <row r="134" ht="12.75" customHeight="1">
      <c r="A134" s="74"/>
      <c r="B134" s="74"/>
      <c r="C134" s="74"/>
      <c r="D134" s="74"/>
    </row>
    <row r="135" ht="12.75" customHeight="1">
      <c r="A135" s="74"/>
      <c r="B135" s="74"/>
      <c r="C135" s="74"/>
      <c r="D135" s="74"/>
    </row>
    <row r="136" ht="12.75" customHeight="1">
      <c r="A136" s="74"/>
      <c r="B136" s="74"/>
      <c r="C136" s="74"/>
      <c r="D136" s="74"/>
    </row>
    <row r="137" ht="12.75" customHeight="1">
      <c r="A137" s="74"/>
      <c r="B137" s="74"/>
      <c r="C137" s="74"/>
      <c r="D137" s="74"/>
    </row>
    <row r="138" ht="12.75" customHeight="1">
      <c r="A138" s="74"/>
      <c r="B138" s="74"/>
      <c r="C138" s="74"/>
      <c r="D138" s="74"/>
    </row>
    <row r="139" ht="12.75" customHeight="1">
      <c r="A139" s="74"/>
      <c r="B139" s="74"/>
      <c r="C139" s="74"/>
      <c r="D139" s="74"/>
    </row>
    <row r="140" ht="12.75" customHeight="1">
      <c r="A140" s="74"/>
      <c r="B140" s="74"/>
      <c r="C140" s="74"/>
      <c r="D140" s="74"/>
    </row>
    <row r="141" ht="12.75" customHeight="1">
      <c r="A141" s="74"/>
      <c r="B141" s="74"/>
      <c r="C141" s="74"/>
      <c r="D141" s="74"/>
    </row>
    <row r="142" ht="12.75" customHeight="1">
      <c r="A142" s="74"/>
      <c r="B142" s="74"/>
      <c r="C142" s="74"/>
      <c r="D142" s="74"/>
    </row>
    <row r="143" ht="12.75" customHeight="1">
      <c r="A143" s="74"/>
      <c r="B143" s="74"/>
      <c r="C143" s="74"/>
      <c r="D143" s="74"/>
    </row>
    <row r="144" ht="12.75" customHeight="1">
      <c r="A144" s="74"/>
      <c r="B144" s="74"/>
      <c r="C144" s="74"/>
      <c r="D144" s="74"/>
    </row>
    <row r="145" ht="12.75" customHeight="1">
      <c r="A145" s="74"/>
      <c r="B145" s="74"/>
      <c r="C145" s="74"/>
      <c r="D145" s="74"/>
    </row>
    <row r="146" ht="12.75" customHeight="1">
      <c r="A146" s="74"/>
      <c r="B146" s="74"/>
      <c r="C146" s="74"/>
      <c r="D146" s="74"/>
    </row>
    <row r="147" ht="12.75" customHeight="1">
      <c r="A147" s="74"/>
      <c r="B147" s="74"/>
      <c r="C147" s="74"/>
      <c r="D147" s="74"/>
    </row>
    <row r="148" ht="12.75" customHeight="1">
      <c r="A148" s="74"/>
      <c r="B148" s="74"/>
      <c r="C148" s="74"/>
      <c r="D148" s="74"/>
    </row>
    <row r="149" ht="12.75" customHeight="1">
      <c r="A149" s="74"/>
      <c r="B149" s="74"/>
      <c r="C149" s="74"/>
      <c r="D149" s="74"/>
    </row>
    <row r="150" ht="12.75" customHeight="1">
      <c r="A150" s="74"/>
      <c r="B150" s="74"/>
      <c r="C150" s="74"/>
      <c r="D150" s="74"/>
    </row>
    <row r="151" ht="12.75" customHeight="1">
      <c r="A151" s="74"/>
      <c r="B151" s="74"/>
      <c r="C151" s="74"/>
      <c r="D151" s="74"/>
    </row>
    <row r="152" ht="12.75" customHeight="1">
      <c r="A152" s="74"/>
      <c r="B152" s="74"/>
      <c r="C152" s="74"/>
      <c r="D152" s="74"/>
    </row>
    <row r="153" ht="12.75" customHeight="1">
      <c r="A153" s="74"/>
      <c r="B153" s="74"/>
      <c r="C153" s="74"/>
      <c r="D153" s="74"/>
    </row>
    <row r="154" ht="12.75" customHeight="1">
      <c r="A154" s="74"/>
      <c r="B154" s="74"/>
      <c r="C154" s="74"/>
      <c r="D154" s="74"/>
    </row>
    <row r="155" ht="12.75" customHeight="1">
      <c r="A155" s="74"/>
      <c r="B155" s="74"/>
      <c r="C155" s="74"/>
      <c r="D155" s="74"/>
    </row>
    <row r="156" ht="12.75" customHeight="1">
      <c r="A156" s="74"/>
      <c r="B156" s="74"/>
      <c r="C156" s="74"/>
      <c r="D156" s="74"/>
    </row>
    <row r="157" ht="12.75" customHeight="1">
      <c r="A157" s="74"/>
      <c r="B157" s="74"/>
      <c r="C157" s="74"/>
      <c r="D157" s="74"/>
    </row>
    <row r="158" ht="12.75" customHeight="1">
      <c r="A158" s="74"/>
      <c r="B158" s="74"/>
      <c r="C158" s="74"/>
      <c r="D158" s="74"/>
    </row>
    <row r="159" ht="12.75" customHeight="1">
      <c r="A159" s="74"/>
      <c r="B159" s="74"/>
      <c r="C159" s="74"/>
      <c r="D159" s="74"/>
    </row>
    <row r="160" ht="12.75" customHeight="1">
      <c r="A160" s="74"/>
      <c r="B160" s="74"/>
      <c r="C160" s="74"/>
      <c r="D160" s="74"/>
    </row>
    <row r="161" ht="12.75" customHeight="1">
      <c r="A161" s="74"/>
      <c r="B161" s="74"/>
      <c r="C161" s="74"/>
      <c r="D161" s="74"/>
    </row>
    <row r="162" ht="12.75" customHeight="1">
      <c r="A162" s="74"/>
      <c r="B162" s="74"/>
      <c r="C162" s="74"/>
      <c r="D162" s="74"/>
    </row>
    <row r="163" ht="12.75" customHeight="1">
      <c r="A163" s="74"/>
      <c r="B163" s="74"/>
      <c r="C163" s="74"/>
      <c r="D163" s="74"/>
    </row>
    <row r="164" ht="12.75" customHeight="1">
      <c r="A164" s="74"/>
      <c r="B164" s="74"/>
      <c r="C164" s="74"/>
      <c r="D164" s="74"/>
    </row>
    <row r="165" ht="12.75" customHeight="1">
      <c r="A165" s="74"/>
      <c r="B165" s="74"/>
      <c r="C165" s="74"/>
      <c r="D165" s="74"/>
    </row>
    <row r="166" ht="12.75" customHeight="1">
      <c r="A166" s="74"/>
      <c r="B166" s="74"/>
      <c r="C166" s="74"/>
      <c r="D166" s="74"/>
    </row>
    <row r="167" ht="12.75" customHeight="1">
      <c r="A167" s="74"/>
      <c r="B167" s="74"/>
      <c r="C167" s="74"/>
      <c r="D167" s="74"/>
    </row>
    <row r="168" ht="12.75" customHeight="1">
      <c r="A168" s="74"/>
      <c r="B168" s="74"/>
      <c r="C168" s="74"/>
      <c r="D168" s="74"/>
    </row>
    <row r="169" ht="12.75" customHeight="1">
      <c r="A169" s="74"/>
      <c r="B169" s="74"/>
      <c r="C169" s="74"/>
      <c r="D169" s="74"/>
    </row>
    <row r="170" ht="12.75" customHeight="1">
      <c r="A170" s="74"/>
      <c r="B170" s="74"/>
      <c r="C170" s="74"/>
      <c r="D170" s="74"/>
    </row>
    <row r="171" ht="12.75" customHeight="1">
      <c r="A171" s="74"/>
      <c r="B171" s="74"/>
      <c r="C171" s="74"/>
      <c r="D171" s="74"/>
    </row>
    <row r="172" ht="12.75" customHeight="1">
      <c r="A172" s="74"/>
      <c r="B172" s="74"/>
      <c r="C172" s="74"/>
      <c r="D172" s="74"/>
    </row>
    <row r="173" ht="12.75" customHeight="1">
      <c r="A173" s="74"/>
      <c r="B173" s="74"/>
      <c r="C173" s="74"/>
      <c r="D173" s="74"/>
    </row>
    <row r="174" ht="12.75" customHeight="1">
      <c r="A174" s="74"/>
      <c r="B174" s="74"/>
      <c r="C174" s="74"/>
      <c r="D174" s="74"/>
    </row>
    <row r="175" ht="12.75" customHeight="1">
      <c r="A175" s="74"/>
      <c r="B175" s="74"/>
      <c r="C175" s="74"/>
      <c r="D175" s="74"/>
    </row>
    <row r="176" ht="12.75" customHeight="1">
      <c r="A176" s="74"/>
      <c r="B176" s="74"/>
      <c r="C176" s="74"/>
      <c r="D176" s="74"/>
    </row>
    <row r="177" ht="12.75" customHeight="1">
      <c r="A177" s="74"/>
      <c r="B177" s="74"/>
      <c r="C177" s="74"/>
      <c r="D177" s="74"/>
    </row>
    <row r="178" ht="12.75" customHeight="1">
      <c r="A178" s="74"/>
      <c r="B178" s="74"/>
      <c r="C178" s="74"/>
      <c r="D178" s="74"/>
    </row>
    <row r="179" ht="12.75" customHeight="1">
      <c r="A179" s="74"/>
      <c r="B179" s="74"/>
      <c r="C179" s="74"/>
      <c r="D179" s="74"/>
    </row>
    <row r="180" ht="12.75" customHeight="1">
      <c r="A180" s="74"/>
      <c r="B180" s="74"/>
      <c r="C180" s="74"/>
      <c r="D180" s="74"/>
    </row>
    <row r="181" ht="12.75" customHeight="1">
      <c r="A181" s="74"/>
      <c r="B181" s="74"/>
      <c r="C181" s="74"/>
      <c r="D181" s="74"/>
    </row>
    <row r="182" ht="12.75" customHeight="1">
      <c r="A182" s="74"/>
      <c r="B182" s="74"/>
      <c r="C182" s="74"/>
      <c r="D182" s="74"/>
    </row>
    <row r="183" ht="12.75" customHeight="1">
      <c r="A183" s="74"/>
      <c r="B183" s="74"/>
      <c r="C183" s="74"/>
      <c r="D183" s="74"/>
    </row>
    <row r="184" ht="12.75" customHeight="1">
      <c r="A184" s="74"/>
      <c r="B184" s="74"/>
      <c r="C184" s="74"/>
      <c r="D184" s="74"/>
    </row>
    <row r="185" ht="12.75" customHeight="1">
      <c r="A185" s="74"/>
      <c r="B185" s="74"/>
      <c r="C185" s="74"/>
      <c r="D185" s="74"/>
    </row>
    <row r="186" ht="12.75" customHeight="1">
      <c r="A186" s="74"/>
      <c r="B186" s="74"/>
      <c r="C186" s="74"/>
      <c r="D186" s="74"/>
    </row>
    <row r="187" ht="12.75" customHeight="1">
      <c r="A187" s="74"/>
      <c r="B187" s="74"/>
      <c r="C187" s="74"/>
      <c r="D187" s="74"/>
    </row>
    <row r="188" ht="12.75" customHeight="1">
      <c r="A188" s="74"/>
      <c r="B188" s="74"/>
      <c r="C188" s="74"/>
      <c r="D188" s="74"/>
    </row>
    <row r="189" ht="12.75" customHeight="1">
      <c r="A189" s="74"/>
      <c r="B189" s="74"/>
      <c r="C189" s="74"/>
      <c r="D189" s="74"/>
    </row>
    <row r="190" ht="12.75" customHeight="1">
      <c r="A190" s="74"/>
      <c r="B190" s="74"/>
      <c r="C190" s="74"/>
      <c r="D190" s="74"/>
    </row>
    <row r="191" ht="12.75" customHeight="1">
      <c r="A191" s="74"/>
      <c r="B191" s="74"/>
      <c r="C191" s="74"/>
      <c r="D191" s="74"/>
    </row>
    <row r="192" ht="12.75" customHeight="1">
      <c r="A192" s="74"/>
      <c r="B192" s="74"/>
      <c r="C192" s="74"/>
      <c r="D192" s="74"/>
    </row>
    <row r="193" ht="12.75" customHeight="1">
      <c r="A193" s="74"/>
      <c r="B193" s="74"/>
      <c r="C193" s="74"/>
      <c r="D193" s="74"/>
    </row>
    <row r="194" ht="12.75" customHeight="1">
      <c r="A194" s="74"/>
      <c r="B194" s="74"/>
      <c r="C194" s="74"/>
      <c r="D194" s="74"/>
    </row>
    <row r="195" ht="12.75" customHeight="1">
      <c r="A195" s="74"/>
      <c r="B195" s="74"/>
      <c r="C195" s="74"/>
      <c r="D195" s="74"/>
    </row>
    <row r="196" ht="12.75" customHeight="1">
      <c r="A196" s="74"/>
      <c r="B196" s="74"/>
      <c r="C196" s="74"/>
      <c r="D196" s="74"/>
    </row>
    <row r="197" ht="12.75" customHeight="1">
      <c r="A197" s="74"/>
      <c r="B197" s="74"/>
      <c r="C197" s="74"/>
      <c r="D197" s="74"/>
    </row>
    <row r="198" ht="12.75" customHeight="1">
      <c r="A198" s="74"/>
      <c r="B198" s="74"/>
      <c r="C198" s="74"/>
      <c r="D198" s="74"/>
    </row>
    <row r="199" ht="12.75" customHeight="1">
      <c r="A199" s="74"/>
      <c r="B199" s="74"/>
      <c r="C199" s="74"/>
      <c r="D199" s="74"/>
    </row>
    <row r="200" ht="12.75" customHeight="1">
      <c r="A200" s="74"/>
      <c r="B200" s="74"/>
      <c r="C200" s="74"/>
      <c r="D200" s="74"/>
    </row>
    <row r="201" ht="12.75" customHeight="1">
      <c r="A201" s="74"/>
      <c r="B201" s="74"/>
      <c r="C201" s="74"/>
      <c r="D201" s="74"/>
    </row>
    <row r="202" ht="12.75" customHeight="1">
      <c r="A202" s="74"/>
      <c r="B202" s="74"/>
      <c r="C202" s="74"/>
      <c r="D202" s="74"/>
    </row>
    <row r="203" ht="12.75" customHeight="1">
      <c r="A203" s="74"/>
      <c r="B203" s="74"/>
      <c r="C203" s="74"/>
      <c r="D203" s="74"/>
    </row>
    <row r="204" ht="12.75" customHeight="1">
      <c r="A204" s="74"/>
      <c r="B204" s="74"/>
      <c r="C204" s="74"/>
      <c r="D204" s="74"/>
    </row>
    <row r="205" ht="12.75" customHeight="1">
      <c r="A205" s="74"/>
      <c r="B205" s="74"/>
      <c r="C205" s="74"/>
      <c r="D205" s="74"/>
    </row>
    <row r="206" ht="12.75" customHeight="1">
      <c r="A206" s="74"/>
      <c r="B206" s="74"/>
      <c r="C206" s="74"/>
      <c r="D206" s="74"/>
    </row>
    <row r="207" ht="12.75" customHeight="1">
      <c r="A207" s="74"/>
      <c r="B207" s="74"/>
      <c r="C207" s="74"/>
      <c r="D207" s="74"/>
    </row>
    <row r="208" ht="12.75" customHeight="1">
      <c r="A208" s="74"/>
      <c r="B208" s="74"/>
      <c r="C208" s="74"/>
      <c r="D208" s="74"/>
    </row>
    <row r="209" ht="12.75" customHeight="1">
      <c r="A209" s="74"/>
      <c r="B209" s="74"/>
      <c r="C209" s="74"/>
      <c r="D209" s="74"/>
    </row>
    <row r="210" ht="12.75" customHeight="1">
      <c r="A210" s="74"/>
      <c r="B210" s="74"/>
      <c r="C210" s="74"/>
      <c r="D210" s="74"/>
    </row>
    <row r="211" ht="12.75" customHeight="1">
      <c r="A211" s="74"/>
      <c r="B211" s="74"/>
      <c r="C211" s="74"/>
      <c r="D211" s="74"/>
    </row>
    <row r="212" ht="12.75" customHeight="1">
      <c r="A212" s="74"/>
      <c r="B212" s="74"/>
      <c r="C212" s="74"/>
      <c r="D212" s="74"/>
    </row>
    <row r="213" ht="12.75" customHeight="1">
      <c r="A213" s="74"/>
      <c r="B213" s="74"/>
      <c r="C213" s="74"/>
      <c r="D213" s="74"/>
    </row>
    <row r="214" ht="12.75" customHeight="1">
      <c r="A214" s="74"/>
      <c r="B214" s="74"/>
      <c r="C214" s="74"/>
      <c r="D214" s="74"/>
    </row>
    <row r="215" ht="12.75" customHeight="1">
      <c r="A215" s="74"/>
      <c r="B215" s="74"/>
      <c r="C215" s="74"/>
      <c r="D215" s="74"/>
    </row>
    <row r="216" ht="12.75" customHeight="1">
      <c r="A216" s="74"/>
      <c r="B216" s="74"/>
      <c r="C216" s="74"/>
      <c r="D216" s="74"/>
    </row>
    <row r="217" ht="12.75" customHeight="1">
      <c r="A217" s="74"/>
      <c r="B217" s="74"/>
      <c r="C217" s="74"/>
      <c r="D217" s="74"/>
    </row>
    <row r="218" ht="12.75" customHeight="1">
      <c r="A218" s="74"/>
      <c r="B218" s="74"/>
      <c r="C218" s="74"/>
      <c r="D218" s="74"/>
    </row>
    <row r="219" ht="12.75" customHeight="1">
      <c r="A219" s="74"/>
      <c r="B219" s="74"/>
      <c r="C219" s="74"/>
      <c r="D219" s="74"/>
    </row>
    <row r="220" ht="12.75" customHeight="1">
      <c r="A220" s="74"/>
      <c r="B220" s="74"/>
      <c r="C220" s="74"/>
      <c r="D220" s="74"/>
    </row>
    <row r="221" ht="12.75" customHeight="1">
      <c r="A221" s="74"/>
      <c r="B221" s="74"/>
      <c r="C221" s="74"/>
      <c r="D221" s="74"/>
    </row>
    <row r="222" ht="12.75" customHeight="1">
      <c r="A222" s="74"/>
      <c r="B222" s="74"/>
      <c r="C222" s="74"/>
      <c r="D222" s="74"/>
    </row>
    <row r="223" ht="12.75" customHeight="1">
      <c r="A223" s="74"/>
      <c r="B223" s="74"/>
      <c r="C223" s="74"/>
      <c r="D223" s="74"/>
    </row>
    <row r="224" ht="12.75" customHeight="1">
      <c r="A224" s="74"/>
      <c r="B224" s="74"/>
      <c r="C224" s="74"/>
      <c r="D224" s="74"/>
    </row>
    <row r="225" ht="12.75" customHeight="1">
      <c r="A225" s="74"/>
      <c r="B225" s="74"/>
      <c r="C225" s="74"/>
      <c r="D225" s="74"/>
    </row>
    <row r="226" ht="12.75" customHeight="1">
      <c r="A226" s="74"/>
      <c r="B226" s="74"/>
      <c r="C226" s="74"/>
      <c r="D226" s="74"/>
    </row>
    <row r="227" ht="12.75" customHeight="1">
      <c r="A227" s="74"/>
      <c r="B227" s="74"/>
      <c r="C227" s="74"/>
      <c r="D227" s="74"/>
    </row>
    <row r="228" ht="12.75" customHeight="1">
      <c r="A228" s="74"/>
      <c r="B228" s="74"/>
      <c r="C228" s="74"/>
      <c r="D228" s="74"/>
    </row>
    <row r="229" ht="12.75" customHeight="1">
      <c r="A229" s="74"/>
      <c r="B229" s="74"/>
      <c r="C229" s="74"/>
      <c r="D229" s="74"/>
    </row>
    <row r="230" ht="12.75" customHeight="1">
      <c r="A230" s="74"/>
      <c r="B230" s="74"/>
      <c r="C230" s="74"/>
      <c r="D230" s="74"/>
    </row>
    <row r="231" ht="12.75" customHeight="1">
      <c r="A231" s="74"/>
      <c r="B231" s="74"/>
      <c r="C231" s="74"/>
      <c r="D231" s="74"/>
    </row>
    <row r="232" ht="12.75" customHeight="1">
      <c r="A232" s="74"/>
      <c r="B232" s="74"/>
      <c r="C232" s="74"/>
      <c r="D232" s="74"/>
    </row>
    <row r="233" ht="12.75" customHeight="1">
      <c r="A233" s="74"/>
      <c r="B233" s="74"/>
      <c r="C233" s="74"/>
      <c r="D233" s="74"/>
    </row>
    <row r="234" ht="12.75" customHeight="1">
      <c r="A234" s="74"/>
      <c r="B234" s="74"/>
      <c r="C234" s="74"/>
      <c r="D234" s="74"/>
    </row>
    <row r="235" ht="12.75" customHeight="1">
      <c r="A235" s="74"/>
      <c r="B235" s="74"/>
      <c r="C235" s="74"/>
      <c r="D235" s="74"/>
    </row>
    <row r="236" ht="12.75" customHeight="1">
      <c r="A236" s="74"/>
      <c r="B236" s="74"/>
      <c r="C236" s="74"/>
      <c r="D236" s="74"/>
    </row>
    <row r="237" ht="12.75" customHeight="1">
      <c r="A237" s="74"/>
      <c r="B237" s="74"/>
      <c r="C237" s="74"/>
      <c r="D237" s="74"/>
    </row>
    <row r="238" ht="12.75" customHeight="1">
      <c r="A238" s="74"/>
      <c r="B238" s="74"/>
      <c r="C238" s="74"/>
      <c r="D238" s="74"/>
    </row>
    <row r="239" ht="12.75" customHeight="1">
      <c r="A239" s="74"/>
      <c r="B239" s="74"/>
      <c r="C239" s="74"/>
      <c r="D239" s="74"/>
    </row>
    <row r="240" ht="12.75" customHeight="1">
      <c r="A240" s="74"/>
      <c r="B240" s="74"/>
      <c r="C240" s="74"/>
      <c r="D240" s="74"/>
    </row>
    <row r="241" ht="12.75" customHeight="1">
      <c r="A241" s="74"/>
      <c r="B241" s="74"/>
      <c r="C241" s="74"/>
      <c r="D241" s="74"/>
    </row>
    <row r="242" ht="12.75" customHeight="1">
      <c r="A242" s="74"/>
      <c r="B242" s="74"/>
      <c r="C242" s="74"/>
      <c r="D242" s="74"/>
    </row>
    <row r="243" ht="12.75" customHeight="1">
      <c r="A243" s="74"/>
      <c r="B243" s="74"/>
      <c r="C243" s="74"/>
      <c r="D243" s="74"/>
    </row>
    <row r="244" ht="12.75" customHeight="1">
      <c r="A244" s="74"/>
      <c r="B244" s="74"/>
      <c r="C244" s="74"/>
      <c r="D244" s="74"/>
    </row>
    <row r="245" ht="12.75" customHeight="1">
      <c r="A245" s="74"/>
      <c r="B245" s="74"/>
      <c r="C245" s="74"/>
      <c r="D245" s="74"/>
    </row>
    <row r="246" ht="12.75" customHeight="1">
      <c r="A246" s="74"/>
      <c r="B246" s="74"/>
      <c r="C246" s="74"/>
      <c r="D246" s="74"/>
    </row>
    <row r="247" ht="12.75" customHeight="1">
      <c r="A247" s="74"/>
      <c r="B247" s="74"/>
      <c r="C247" s="74"/>
      <c r="D247" s="74"/>
    </row>
    <row r="248" ht="12.75" customHeight="1">
      <c r="A248" s="74"/>
      <c r="B248" s="74"/>
      <c r="C248" s="74"/>
      <c r="D248" s="74"/>
    </row>
    <row r="249" ht="12.75" customHeight="1">
      <c r="A249" s="74"/>
      <c r="B249" s="74"/>
      <c r="C249" s="74"/>
      <c r="D249" s="74"/>
    </row>
    <row r="250" ht="12.75" customHeight="1">
      <c r="A250" s="74"/>
      <c r="B250" s="74"/>
      <c r="C250" s="74"/>
      <c r="D250" s="74"/>
    </row>
    <row r="251" ht="12.75" customHeight="1">
      <c r="A251" s="74"/>
      <c r="B251" s="74"/>
      <c r="C251" s="74"/>
      <c r="D251" s="74"/>
    </row>
    <row r="252" ht="12.75" customHeight="1">
      <c r="A252" s="74"/>
      <c r="B252" s="74"/>
      <c r="C252" s="74"/>
      <c r="D252" s="74"/>
    </row>
    <row r="253" ht="12.75" customHeight="1">
      <c r="A253" s="74"/>
      <c r="B253" s="74"/>
      <c r="C253" s="74"/>
      <c r="D253" s="74"/>
    </row>
    <row r="254" ht="12.75" customHeight="1">
      <c r="A254" s="74"/>
      <c r="B254" s="74"/>
      <c r="C254" s="74"/>
      <c r="D254" s="74"/>
    </row>
    <row r="255" ht="12.75" customHeight="1">
      <c r="A255" s="74"/>
      <c r="B255" s="74"/>
      <c r="C255" s="74"/>
      <c r="D255" s="74"/>
    </row>
    <row r="256" ht="12.75" customHeight="1">
      <c r="A256" s="74"/>
      <c r="B256" s="74"/>
      <c r="C256" s="74"/>
      <c r="D256" s="74"/>
    </row>
    <row r="257" ht="12.75" customHeight="1">
      <c r="A257" s="74"/>
      <c r="B257" s="74"/>
      <c r="C257" s="74"/>
      <c r="D257" s="74"/>
    </row>
    <row r="258" ht="12.75" customHeight="1">
      <c r="A258" s="74"/>
      <c r="B258" s="74"/>
      <c r="C258" s="74"/>
      <c r="D258" s="74"/>
    </row>
    <row r="259" ht="12.75" customHeight="1">
      <c r="A259" s="74"/>
      <c r="B259" s="74"/>
      <c r="C259" s="74"/>
      <c r="D259" s="74"/>
    </row>
    <row r="260" ht="12.75" customHeight="1">
      <c r="A260" s="74"/>
      <c r="B260" s="74"/>
      <c r="C260" s="74"/>
      <c r="D260" s="74"/>
    </row>
    <row r="261" ht="12.75" customHeight="1">
      <c r="A261" s="74"/>
      <c r="B261" s="74"/>
      <c r="C261" s="74"/>
      <c r="D261" s="74"/>
    </row>
    <row r="262" ht="12.75" customHeight="1">
      <c r="A262" s="74"/>
      <c r="B262" s="74"/>
      <c r="C262" s="74"/>
      <c r="D262" s="74"/>
    </row>
    <row r="263" ht="12.75" customHeight="1">
      <c r="A263" s="74"/>
      <c r="B263" s="74"/>
      <c r="C263" s="74"/>
      <c r="D263" s="74"/>
    </row>
    <row r="264" ht="12.75" customHeight="1">
      <c r="A264" s="74"/>
      <c r="B264" s="74"/>
      <c r="C264" s="74"/>
      <c r="D264" s="74"/>
    </row>
    <row r="265" ht="12.75" customHeight="1">
      <c r="A265" s="74"/>
      <c r="B265" s="74"/>
      <c r="C265" s="74"/>
      <c r="D265" s="74"/>
    </row>
    <row r="266" ht="12.75" customHeight="1">
      <c r="A266" s="74"/>
      <c r="B266" s="74"/>
      <c r="C266" s="74"/>
      <c r="D266" s="74"/>
    </row>
    <row r="267" ht="12.75" customHeight="1">
      <c r="A267" s="74"/>
      <c r="B267" s="74"/>
      <c r="C267" s="74"/>
      <c r="D267" s="74"/>
    </row>
    <row r="268" ht="12.75" customHeight="1">
      <c r="A268" s="74"/>
      <c r="B268" s="74"/>
      <c r="C268" s="74"/>
      <c r="D268" s="74"/>
    </row>
    <row r="269" ht="12.75" customHeight="1">
      <c r="A269" s="74"/>
      <c r="B269" s="74"/>
      <c r="C269" s="74"/>
      <c r="D269" s="74"/>
    </row>
    <row r="270" ht="12.75" customHeight="1">
      <c r="A270" s="74"/>
      <c r="B270" s="74"/>
      <c r="C270" s="74"/>
      <c r="D270" s="74"/>
    </row>
    <row r="271" ht="12.75" customHeight="1">
      <c r="A271" s="74"/>
      <c r="B271" s="74"/>
      <c r="C271" s="74"/>
      <c r="D271" s="74"/>
    </row>
    <row r="272" ht="12.75" customHeight="1">
      <c r="A272" s="74"/>
      <c r="B272" s="74"/>
      <c r="C272" s="74"/>
      <c r="D272" s="74"/>
    </row>
    <row r="273" ht="12.75" customHeight="1">
      <c r="A273" s="74"/>
      <c r="B273" s="74"/>
      <c r="C273" s="74"/>
      <c r="D273" s="74"/>
    </row>
    <row r="274" ht="12.75" customHeight="1">
      <c r="A274" s="74"/>
      <c r="B274" s="74"/>
      <c r="C274" s="74"/>
      <c r="D274" s="74"/>
    </row>
    <row r="275" ht="12.75" customHeight="1">
      <c r="A275" s="74"/>
      <c r="B275" s="74"/>
      <c r="C275" s="74"/>
      <c r="D275" s="74"/>
    </row>
    <row r="276" ht="12.75" customHeight="1">
      <c r="A276" s="74"/>
      <c r="B276" s="74"/>
      <c r="C276" s="74"/>
      <c r="D276" s="74"/>
    </row>
    <row r="277" ht="12.75" customHeight="1">
      <c r="A277" s="74"/>
      <c r="B277" s="74"/>
      <c r="C277" s="74"/>
      <c r="D277" s="74"/>
    </row>
    <row r="278" ht="12.75" customHeight="1">
      <c r="A278" s="74"/>
      <c r="B278" s="74"/>
      <c r="C278" s="74"/>
      <c r="D278" s="74"/>
    </row>
    <row r="279" ht="12.75" customHeight="1">
      <c r="A279" s="74"/>
      <c r="B279" s="74"/>
      <c r="C279" s="74"/>
      <c r="D279" s="74"/>
    </row>
    <row r="280" ht="12.75" customHeight="1">
      <c r="A280" s="74"/>
      <c r="B280" s="74"/>
      <c r="C280" s="74"/>
      <c r="D280" s="74"/>
    </row>
    <row r="281" ht="12.75" customHeight="1">
      <c r="A281" s="74"/>
      <c r="B281" s="74"/>
      <c r="C281" s="74"/>
      <c r="D281" s="74"/>
    </row>
    <row r="282" ht="12.75" customHeight="1">
      <c r="A282" s="74"/>
      <c r="B282" s="74"/>
      <c r="C282" s="74"/>
      <c r="D282" s="74"/>
    </row>
    <row r="283" ht="12.75" customHeight="1">
      <c r="A283" s="74"/>
      <c r="B283" s="74"/>
      <c r="C283" s="74"/>
      <c r="D283" s="74"/>
    </row>
    <row r="284" ht="12.75" customHeight="1">
      <c r="A284" s="74"/>
      <c r="B284" s="74"/>
      <c r="C284" s="74"/>
      <c r="D284" s="74"/>
    </row>
    <row r="285" ht="12.75" customHeight="1">
      <c r="A285" s="74"/>
      <c r="B285" s="74"/>
      <c r="C285" s="74"/>
      <c r="D285" s="74"/>
    </row>
    <row r="286" ht="12.75" customHeight="1">
      <c r="A286" s="74"/>
      <c r="B286" s="74"/>
      <c r="C286" s="74"/>
      <c r="D286" s="74"/>
    </row>
    <row r="287" ht="12.75" customHeight="1">
      <c r="A287" s="74"/>
      <c r="B287" s="74"/>
      <c r="C287" s="74"/>
      <c r="D287" s="74"/>
    </row>
    <row r="288" ht="12.75" customHeight="1">
      <c r="A288" s="74"/>
      <c r="B288" s="74"/>
      <c r="C288" s="74"/>
      <c r="D288" s="74"/>
    </row>
    <row r="289" ht="12.75" customHeight="1">
      <c r="A289" s="74"/>
      <c r="B289" s="74"/>
      <c r="C289" s="74"/>
      <c r="D289" s="74"/>
    </row>
    <row r="290" ht="12.75" customHeight="1">
      <c r="A290" s="74"/>
      <c r="B290" s="74"/>
      <c r="C290" s="74"/>
      <c r="D290" s="74"/>
    </row>
    <row r="291" ht="12.75" customHeight="1">
      <c r="A291" s="74"/>
      <c r="B291" s="74"/>
      <c r="C291" s="74"/>
      <c r="D291" s="74"/>
    </row>
    <row r="292" ht="12.75" customHeight="1">
      <c r="A292" s="74"/>
      <c r="B292" s="74"/>
      <c r="C292" s="74"/>
      <c r="D292" s="74"/>
    </row>
    <row r="293" ht="12.75" customHeight="1">
      <c r="A293" s="74"/>
      <c r="B293" s="74"/>
      <c r="C293" s="74"/>
      <c r="D293" s="74"/>
    </row>
    <row r="294" ht="12.75" customHeight="1">
      <c r="A294" s="74"/>
      <c r="B294" s="74"/>
      <c r="C294" s="74"/>
      <c r="D294" s="74"/>
    </row>
    <row r="295" ht="12.75" customHeight="1">
      <c r="A295" s="74"/>
      <c r="B295" s="74"/>
      <c r="C295" s="74"/>
      <c r="D295" s="74"/>
    </row>
    <row r="296" ht="12.75" customHeight="1">
      <c r="A296" s="74"/>
      <c r="B296" s="74"/>
      <c r="C296" s="74"/>
      <c r="D296" s="74"/>
    </row>
    <row r="297" ht="12.75" customHeight="1">
      <c r="A297" s="74"/>
      <c r="B297" s="74"/>
      <c r="C297" s="74"/>
      <c r="D297" s="74"/>
    </row>
    <row r="298" ht="12.75" customHeight="1">
      <c r="A298" s="74"/>
      <c r="B298" s="74"/>
      <c r="C298" s="74"/>
      <c r="D298" s="74"/>
    </row>
    <row r="299" ht="12.75" customHeight="1">
      <c r="A299" s="74"/>
      <c r="B299" s="74"/>
      <c r="C299" s="74"/>
      <c r="D299" s="74"/>
    </row>
    <row r="300" ht="12.75" customHeight="1">
      <c r="A300" s="74"/>
      <c r="B300" s="74"/>
      <c r="C300" s="74"/>
      <c r="D300" s="74"/>
    </row>
    <row r="301" ht="12.75" customHeight="1">
      <c r="A301" s="74"/>
      <c r="B301" s="74"/>
      <c r="C301" s="74"/>
      <c r="D301" s="74"/>
    </row>
    <row r="302" ht="12.75" customHeight="1">
      <c r="A302" s="74"/>
      <c r="B302" s="74"/>
      <c r="C302" s="74"/>
      <c r="D302" s="74"/>
    </row>
    <row r="303" ht="12.75" customHeight="1">
      <c r="A303" s="74"/>
      <c r="B303" s="74"/>
      <c r="C303" s="74"/>
      <c r="D303" s="74"/>
    </row>
    <row r="304" ht="12.75" customHeight="1">
      <c r="A304" s="74"/>
      <c r="B304" s="74"/>
      <c r="C304" s="74"/>
      <c r="D304" s="74"/>
    </row>
    <row r="305" ht="12.75" customHeight="1">
      <c r="A305" s="74"/>
      <c r="B305" s="74"/>
      <c r="C305" s="74"/>
      <c r="D305" s="74"/>
    </row>
    <row r="306" ht="12.75" customHeight="1">
      <c r="A306" s="74"/>
      <c r="B306" s="74"/>
      <c r="C306" s="74"/>
      <c r="D306" s="74"/>
    </row>
    <row r="307" ht="12.75" customHeight="1">
      <c r="A307" s="74"/>
      <c r="B307" s="74"/>
      <c r="C307" s="74"/>
      <c r="D307" s="74"/>
    </row>
    <row r="308" ht="12.75" customHeight="1">
      <c r="A308" s="74"/>
      <c r="B308" s="74"/>
      <c r="C308" s="74"/>
      <c r="D308" s="74"/>
    </row>
    <row r="309" ht="12.75" customHeight="1">
      <c r="A309" s="74"/>
      <c r="B309" s="74"/>
      <c r="C309" s="74"/>
      <c r="D309" s="74"/>
    </row>
    <row r="310" ht="12.75" customHeight="1">
      <c r="A310" s="74"/>
      <c r="B310" s="74"/>
      <c r="C310" s="74"/>
      <c r="D310" s="74"/>
    </row>
    <row r="311" ht="12.75" customHeight="1">
      <c r="A311" s="74"/>
      <c r="B311" s="74"/>
      <c r="C311" s="74"/>
      <c r="D311" s="74"/>
    </row>
    <row r="312" ht="12.75" customHeight="1">
      <c r="A312" s="74"/>
      <c r="B312" s="74"/>
      <c r="C312" s="74"/>
      <c r="D312" s="74"/>
    </row>
    <row r="313" ht="12.75" customHeight="1">
      <c r="A313" s="74"/>
      <c r="B313" s="74"/>
      <c r="C313" s="74"/>
      <c r="D313" s="74"/>
    </row>
    <row r="314" ht="12.75" customHeight="1">
      <c r="A314" s="74"/>
      <c r="B314" s="74"/>
      <c r="C314" s="74"/>
      <c r="D314" s="74"/>
    </row>
    <row r="315" ht="12.75" customHeight="1">
      <c r="A315" s="74"/>
      <c r="B315" s="74"/>
      <c r="C315" s="74"/>
      <c r="D315" s="74"/>
    </row>
    <row r="316" ht="12.75" customHeight="1">
      <c r="A316" s="74"/>
      <c r="B316" s="74"/>
      <c r="C316" s="74"/>
      <c r="D316" s="74"/>
    </row>
    <row r="317" ht="12.75" customHeight="1">
      <c r="A317" s="74"/>
      <c r="B317" s="74"/>
      <c r="C317" s="74"/>
      <c r="D317" s="74"/>
    </row>
    <row r="318" ht="12.75" customHeight="1">
      <c r="A318" s="74"/>
      <c r="B318" s="74"/>
      <c r="C318" s="74"/>
      <c r="D318" s="74"/>
    </row>
    <row r="319" ht="12.75" customHeight="1">
      <c r="A319" s="74"/>
      <c r="B319" s="74"/>
      <c r="C319" s="74"/>
      <c r="D319" s="74"/>
    </row>
    <row r="320" ht="12.75" customHeight="1">
      <c r="A320" s="74"/>
      <c r="B320" s="74"/>
      <c r="C320" s="74"/>
      <c r="D320" s="74"/>
    </row>
    <row r="321" ht="12.75" customHeight="1">
      <c r="A321" s="74"/>
      <c r="B321" s="74"/>
      <c r="C321" s="74"/>
      <c r="D321" s="74"/>
    </row>
    <row r="322" ht="12.75" customHeight="1">
      <c r="A322" s="74"/>
      <c r="B322" s="74"/>
      <c r="C322" s="74"/>
      <c r="D322" s="74"/>
    </row>
    <row r="323" ht="12.75" customHeight="1">
      <c r="A323" s="74"/>
      <c r="B323" s="74"/>
      <c r="C323" s="74"/>
      <c r="D323" s="74"/>
    </row>
    <row r="324" ht="12.75" customHeight="1">
      <c r="A324" s="74"/>
      <c r="B324" s="74"/>
      <c r="C324" s="74"/>
      <c r="D324" s="74"/>
    </row>
    <row r="325" ht="12.75" customHeight="1">
      <c r="A325" s="74"/>
      <c r="B325" s="74"/>
      <c r="C325" s="74"/>
      <c r="D325" s="74"/>
    </row>
    <row r="326" ht="12.75" customHeight="1">
      <c r="A326" s="74"/>
      <c r="B326" s="74"/>
      <c r="C326" s="74"/>
      <c r="D326" s="74"/>
    </row>
    <row r="327" ht="12.75" customHeight="1">
      <c r="A327" s="74"/>
      <c r="B327" s="74"/>
      <c r="C327" s="74"/>
      <c r="D327" s="74"/>
    </row>
    <row r="328" ht="12.75" customHeight="1">
      <c r="A328" s="74"/>
      <c r="B328" s="74"/>
      <c r="C328" s="74"/>
      <c r="D328" s="74"/>
    </row>
    <row r="329" ht="12.75" customHeight="1">
      <c r="A329" s="74"/>
      <c r="B329" s="74"/>
      <c r="C329" s="74"/>
      <c r="D329" s="74"/>
    </row>
    <row r="330" ht="12.75" customHeight="1">
      <c r="A330" s="74"/>
      <c r="B330" s="74"/>
      <c r="C330" s="74"/>
      <c r="D330" s="74"/>
    </row>
    <row r="331" ht="12.75" customHeight="1">
      <c r="A331" s="74"/>
      <c r="B331" s="74"/>
      <c r="C331" s="74"/>
      <c r="D331" s="74"/>
    </row>
    <row r="332" ht="12.75" customHeight="1">
      <c r="A332" s="74"/>
      <c r="B332" s="74"/>
      <c r="C332" s="74"/>
      <c r="D332" s="74"/>
    </row>
    <row r="333" ht="12.75" customHeight="1">
      <c r="A333" s="74"/>
      <c r="B333" s="74"/>
      <c r="C333" s="74"/>
      <c r="D333" s="74"/>
    </row>
    <row r="334" ht="12.75" customHeight="1">
      <c r="A334" s="74"/>
      <c r="B334" s="74"/>
      <c r="C334" s="74"/>
      <c r="D334" s="74"/>
    </row>
    <row r="335" ht="12.75" customHeight="1">
      <c r="A335" s="74"/>
      <c r="B335" s="74"/>
      <c r="C335" s="74"/>
      <c r="D335" s="74"/>
    </row>
    <row r="336" ht="12.75" customHeight="1">
      <c r="A336" s="74"/>
      <c r="B336" s="74"/>
      <c r="C336" s="74"/>
      <c r="D336" s="74"/>
    </row>
    <row r="337" ht="12.75" customHeight="1">
      <c r="A337" s="74"/>
      <c r="B337" s="74"/>
      <c r="C337" s="74"/>
      <c r="D337" s="74"/>
    </row>
    <row r="338" ht="12.75" customHeight="1">
      <c r="A338" s="74"/>
      <c r="B338" s="74"/>
      <c r="C338" s="74"/>
      <c r="D338" s="74"/>
    </row>
    <row r="339" ht="12.75" customHeight="1">
      <c r="A339" s="74"/>
      <c r="B339" s="74"/>
      <c r="C339" s="74"/>
      <c r="D339" s="74"/>
    </row>
    <row r="340" ht="12.75" customHeight="1">
      <c r="A340" s="74"/>
      <c r="B340" s="74"/>
      <c r="C340" s="74"/>
      <c r="D340" s="74"/>
    </row>
    <row r="341" ht="12.75" customHeight="1">
      <c r="A341" s="74"/>
      <c r="B341" s="74"/>
      <c r="C341" s="74"/>
      <c r="D341" s="74"/>
    </row>
    <row r="342" ht="12.75" customHeight="1">
      <c r="A342" s="74"/>
      <c r="B342" s="74"/>
      <c r="C342" s="74"/>
      <c r="D342" s="74"/>
    </row>
    <row r="343" ht="12.75" customHeight="1">
      <c r="A343" s="74"/>
      <c r="B343" s="74"/>
      <c r="C343" s="74"/>
      <c r="D343" s="74"/>
    </row>
    <row r="344" ht="12.75" customHeight="1">
      <c r="A344" s="74"/>
      <c r="B344" s="74"/>
      <c r="C344" s="74"/>
      <c r="D344" s="74"/>
    </row>
    <row r="345" ht="12.75" customHeight="1">
      <c r="A345" s="74"/>
      <c r="B345" s="74"/>
      <c r="C345" s="74"/>
      <c r="D345" s="74"/>
    </row>
    <row r="346" ht="12.75" customHeight="1">
      <c r="A346" s="74"/>
      <c r="B346" s="74"/>
      <c r="C346" s="74"/>
      <c r="D346" s="74"/>
    </row>
    <row r="347" ht="12.75" customHeight="1">
      <c r="A347" s="74"/>
      <c r="B347" s="74"/>
      <c r="C347" s="74"/>
      <c r="D347" s="74"/>
    </row>
    <row r="348" ht="12.75" customHeight="1">
      <c r="A348" s="74"/>
      <c r="B348" s="74"/>
      <c r="C348" s="74"/>
      <c r="D348" s="74"/>
    </row>
    <row r="349" ht="12.75" customHeight="1">
      <c r="A349" s="74"/>
      <c r="B349" s="74"/>
      <c r="C349" s="74"/>
      <c r="D349" s="74"/>
    </row>
    <row r="350" ht="12.75" customHeight="1">
      <c r="A350" s="74"/>
      <c r="B350" s="74"/>
      <c r="C350" s="74"/>
      <c r="D350" s="74"/>
    </row>
    <row r="351" ht="12.75" customHeight="1">
      <c r="A351" s="74"/>
      <c r="B351" s="74"/>
      <c r="C351" s="74"/>
      <c r="D351" s="74"/>
    </row>
    <row r="352" ht="12.75" customHeight="1">
      <c r="A352" s="74"/>
      <c r="B352" s="74"/>
      <c r="C352" s="74"/>
      <c r="D352" s="74"/>
    </row>
    <row r="353" ht="12.75" customHeight="1">
      <c r="A353" s="74"/>
      <c r="B353" s="74"/>
      <c r="C353" s="74"/>
      <c r="D353" s="74"/>
    </row>
    <row r="354" ht="12.75" customHeight="1">
      <c r="A354" s="74"/>
      <c r="B354" s="74"/>
      <c r="C354" s="74"/>
      <c r="D354" s="74"/>
    </row>
    <row r="355" ht="12.75" customHeight="1">
      <c r="A355" s="74"/>
      <c r="B355" s="74"/>
      <c r="C355" s="74"/>
      <c r="D355" s="74"/>
    </row>
    <row r="356" ht="12.75" customHeight="1">
      <c r="A356" s="74"/>
      <c r="B356" s="74"/>
      <c r="C356" s="74"/>
      <c r="D356" s="74"/>
    </row>
    <row r="357" ht="12.75" customHeight="1">
      <c r="A357" s="74"/>
      <c r="B357" s="74"/>
      <c r="C357" s="74"/>
      <c r="D357" s="74"/>
    </row>
    <row r="358" ht="12.75" customHeight="1">
      <c r="A358" s="74"/>
      <c r="B358" s="74"/>
      <c r="C358" s="74"/>
      <c r="D358" s="74"/>
    </row>
    <row r="359" ht="12.75" customHeight="1">
      <c r="A359" s="74"/>
      <c r="B359" s="74"/>
      <c r="C359" s="74"/>
      <c r="D359" s="74"/>
    </row>
    <row r="360" ht="12.75" customHeight="1">
      <c r="A360" s="74"/>
      <c r="B360" s="74"/>
      <c r="C360" s="74"/>
      <c r="D360" s="74"/>
    </row>
    <row r="361" ht="12.75" customHeight="1">
      <c r="A361" s="74"/>
      <c r="B361" s="74"/>
      <c r="C361" s="74"/>
      <c r="D361" s="74"/>
    </row>
    <row r="362" ht="12.75" customHeight="1">
      <c r="A362" s="74"/>
      <c r="B362" s="74"/>
      <c r="C362" s="74"/>
      <c r="D362" s="74"/>
    </row>
    <row r="363" ht="12.75" customHeight="1">
      <c r="A363" s="74"/>
      <c r="B363" s="74"/>
      <c r="C363" s="74"/>
      <c r="D363" s="74"/>
    </row>
    <row r="364" ht="12.75" customHeight="1">
      <c r="A364" s="74"/>
      <c r="B364" s="74"/>
      <c r="C364" s="74"/>
      <c r="D364" s="74"/>
    </row>
    <row r="365" ht="12.75" customHeight="1">
      <c r="A365" s="74"/>
      <c r="B365" s="74"/>
      <c r="C365" s="74"/>
      <c r="D365" s="74"/>
    </row>
    <row r="366" ht="12.75" customHeight="1">
      <c r="A366" s="74"/>
      <c r="B366" s="74"/>
      <c r="C366" s="74"/>
      <c r="D366" s="74"/>
    </row>
    <row r="367" ht="12.75" customHeight="1">
      <c r="A367" s="74"/>
      <c r="B367" s="74"/>
      <c r="C367" s="74"/>
      <c r="D367" s="74"/>
    </row>
    <row r="368" ht="12.75" customHeight="1">
      <c r="A368" s="74"/>
      <c r="B368" s="74"/>
      <c r="C368" s="74"/>
      <c r="D368" s="74"/>
    </row>
    <row r="369" ht="12.75" customHeight="1">
      <c r="A369" s="74"/>
      <c r="B369" s="74"/>
      <c r="C369" s="74"/>
      <c r="D369" s="74"/>
    </row>
    <row r="370" ht="12.75" customHeight="1">
      <c r="A370" s="74"/>
      <c r="B370" s="74"/>
      <c r="C370" s="74"/>
      <c r="D370" s="74"/>
    </row>
    <row r="371" ht="12.75" customHeight="1">
      <c r="A371" s="74"/>
      <c r="B371" s="74"/>
      <c r="C371" s="74"/>
      <c r="D371" s="74"/>
    </row>
    <row r="372" ht="12.75" customHeight="1">
      <c r="A372" s="74"/>
      <c r="B372" s="74"/>
      <c r="C372" s="74"/>
      <c r="D372" s="74"/>
    </row>
    <row r="373" ht="12.75" customHeight="1">
      <c r="A373" s="74"/>
      <c r="B373" s="74"/>
      <c r="C373" s="74"/>
      <c r="D373" s="74"/>
    </row>
    <row r="374" ht="12.75" customHeight="1">
      <c r="A374" s="74"/>
      <c r="B374" s="74"/>
      <c r="C374" s="74"/>
      <c r="D374" s="74"/>
    </row>
    <row r="375" ht="12.75" customHeight="1">
      <c r="A375" s="74"/>
      <c r="B375" s="74"/>
      <c r="C375" s="74"/>
      <c r="D375" s="74"/>
    </row>
    <row r="376" ht="12.75" customHeight="1">
      <c r="A376" s="74"/>
      <c r="B376" s="74"/>
      <c r="C376" s="74"/>
      <c r="D376" s="74"/>
    </row>
    <row r="377" ht="12.75" customHeight="1">
      <c r="A377" s="74"/>
      <c r="B377" s="74"/>
      <c r="C377" s="74"/>
      <c r="D377" s="74"/>
    </row>
    <row r="378" ht="12.75" customHeight="1">
      <c r="A378" s="74"/>
      <c r="B378" s="74"/>
      <c r="C378" s="74"/>
      <c r="D378" s="74"/>
    </row>
    <row r="379" ht="12.75" customHeight="1">
      <c r="A379" s="74"/>
      <c r="B379" s="74"/>
      <c r="C379" s="74"/>
      <c r="D379" s="74"/>
    </row>
    <row r="380" ht="12.75" customHeight="1">
      <c r="A380" s="74"/>
      <c r="B380" s="74"/>
      <c r="C380" s="74"/>
      <c r="D380" s="74"/>
    </row>
    <row r="381" ht="12.75" customHeight="1">
      <c r="A381" s="74"/>
      <c r="B381" s="74"/>
      <c r="C381" s="74"/>
      <c r="D381" s="74"/>
    </row>
    <row r="382" ht="12.75" customHeight="1">
      <c r="A382" s="74"/>
      <c r="B382" s="74"/>
      <c r="C382" s="74"/>
      <c r="D382" s="74"/>
    </row>
    <row r="383" ht="12.75" customHeight="1">
      <c r="A383" s="74"/>
      <c r="B383" s="74"/>
      <c r="C383" s="74"/>
      <c r="D383" s="74"/>
    </row>
    <row r="384" ht="12.75" customHeight="1">
      <c r="A384" s="74"/>
      <c r="B384" s="74"/>
      <c r="C384" s="74"/>
      <c r="D384" s="74"/>
    </row>
    <row r="385" ht="12.75" customHeight="1">
      <c r="A385" s="74"/>
      <c r="B385" s="74"/>
      <c r="C385" s="74"/>
      <c r="D385" s="74"/>
    </row>
    <row r="386" ht="12.75" customHeight="1">
      <c r="A386" s="74"/>
      <c r="B386" s="74"/>
      <c r="C386" s="74"/>
      <c r="D386" s="74"/>
    </row>
    <row r="387" ht="12.75" customHeight="1">
      <c r="A387" s="74"/>
      <c r="B387" s="74"/>
      <c r="C387" s="74"/>
      <c r="D387" s="74"/>
    </row>
    <row r="388" ht="12.75" customHeight="1">
      <c r="A388" s="74"/>
      <c r="B388" s="74"/>
      <c r="C388" s="74"/>
      <c r="D388" s="74"/>
    </row>
    <row r="389" ht="12.75" customHeight="1">
      <c r="A389" s="74"/>
      <c r="B389" s="74"/>
      <c r="C389" s="74"/>
      <c r="D389" s="74"/>
    </row>
    <row r="390" ht="12.75" customHeight="1">
      <c r="A390" s="74"/>
      <c r="B390" s="74"/>
      <c r="C390" s="74"/>
      <c r="D390" s="74"/>
    </row>
    <row r="391" ht="12.75" customHeight="1">
      <c r="A391" s="74"/>
      <c r="B391" s="74"/>
      <c r="C391" s="74"/>
      <c r="D391" s="74"/>
    </row>
    <row r="392" ht="12.75" customHeight="1">
      <c r="A392" s="74"/>
      <c r="B392" s="74"/>
      <c r="C392" s="74"/>
      <c r="D392" s="74"/>
    </row>
    <row r="393" ht="12.75" customHeight="1">
      <c r="A393" s="74"/>
      <c r="B393" s="74"/>
      <c r="C393" s="74"/>
      <c r="D393" s="74"/>
    </row>
    <row r="394" ht="12.75" customHeight="1">
      <c r="A394" s="74"/>
      <c r="B394" s="74"/>
      <c r="C394" s="74"/>
      <c r="D394" s="74"/>
    </row>
    <row r="395" ht="12.75" customHeight="1">
      <c r="A395" s="74"/>
      <c r="B395" s="74"/>
      <c r="C395" s="74"/>
      <c r="D395" s="74"/>
    </row>
    <row r="396" ht="12.75" customHeight="1">
      <c r="A396" s="74"/>
      <c r="B396" s="74"/>
      <c r="C396" s="74"/>
      <c r="D396" s="74"/>
    </row>
    <row r="397" ht="12.75" customHeight="1">
      <c r="A397" s="74"/>
      <c r="B397" s="74"/>
      <c r="C397" s="74"/>
      <c r="D397" s="74"/>
    </row>
    <row r="398" ht="12.75" customHeight="1">
      <c r="A398" s="74"/>
      <c r="B398" s="74"/>
      <c r="C398" s="74"/>
      <c r="D398" s="74"/>
    </row>
    <row r="399" ht="12.75" customHeight="1">
      <c r="A399" s="74"/>
      <c r="B399" s="74"/>
      <c r="C399" s="74"/>
      <c r="D399" s="74"/>
    </row>
    <row r="400" ht="12.75" customHeight="1">
      <c r="A400" s="74"/>
      <c r="B400" s="74"/>
      <c r="C400" s="74"/>
      <c r="D400" s="74"/>
    </row>
    <row r="401" ht="12.75" customHeight="1">
      <c r="A401" s="74"/>
      <c r="B401" s="74"/>
      <c r="C401" s="74"/>
      <c r="D401" s="74"/>
    </row>
    <row r="402" ht="12.75" customHeight="1">
      <c r="A402" s="74"/>
      <c r="B402" s="74"/>
      <c r="C402" s="74"/>
      <c r="D402" s="74"/>
    </row>
    <row r="403" ht="12.75" customHeight="1">
      <c r="A403" s="74"/>
      <c r="B403" s="74"/>
      <c r="C403" s="74"/>
      <c r="D403" s="74"/>
    </row>
    <row r="404" ht="12.75" customHeight="1">
      <c r="A404" s="74"/>
      <c r="B404" s="74"/>
      <c r="C404" s="74"/>
      <c r="D404" s="74"/>
    </row>
    <row r="405" ht="12.75" customHeight="1">
      <c r="A405" s="74"/>
      <c r="B405" s="74"/>
      <c r="C405" s="74"/>
      <c r="D405" s="74"/>
    </row>
    <row r="406" ht="12.75" customHeight="1">
      <c r="A406" s="74"/>
      <c r="B406" s="74"/>
      <c r="C406" s="74"/>
      <c r="D406" s="74"/>
    </row>
    <row r="407" ht="12.75" customHeight="1">
      <c r="A407" s="74"/>
      <c r="B407" s="74"/>
      <c r="C407" s="74"/>
      <c r="D407" s="74"/>
    </row>
    <row r="408" ht="12.75" customHeight="1">
      <c r="A408" s="74"/>
      <c r="B408" s="74"/>
      <c r="C408" s="74"/>
      <c r="D408" s="74"/>
    </row>
    <row r="409" ht="12.75" customHeight="1">
      <c r="A409" s="74"/>
      <c r="B409" s="74"/>
      <c r="C409" s="74"/>
      <c r="D409" s="74"/>
    </row>
    <row r="410" ht="12.75" customHeight="1">
      <c r="A410" s="74"/>
      <c r="B410" s="74"/>
      <c r="C410" s="74"/>
      <c r="D410" s="74"/>
    </row>
    <row r="411" ht="12.75" customHeight="1">
      <c r="A411" s="74"/>
      <c r="B411" s="74"/>
      <c r="C411" s="74"/>
      <c r="D411" s="74"/>
    </row>
    <row r="412" ht="12.75" customHeight="1">
      <c r="A412" s="74"/>
      <c r="B412" s="74"/>
      <c r="C412" s="74"/>
      <c r="D412" s="74"/>
    </row>
    <row r="413" ht="12.75" customHeight="1">
      <c r="A413" s="74"/>
      <c r="B413" s="74"/>
      <c r="C413" s="74"/>
      <c r="D413" s="74"/>
    </row>
    <row r="414" ht="12.75" customHeight="1">
      <c r="A414" s="74"/>
      <c r="B414" s="74"/>
      <c r="C414" s="74"/>
      <c r="D414" s="74"/>
    </row>
    <row r="415" ht="12.75" customHeight="1">
      <c r="A415" s="74"/>
      <c r="B415" s="74"/>
      <c r="C415" s="74"/>
      <c r="D415" s="74"/>
    </row>
    <row r="416" ht="12.75" customHeight="1">
      <c r="A416" s="74"/>
      <c r="B416" s="74"/>
      <c r="C416" s="74"/>
      <c r="D416" s="74"/>
    </row>
    <row r="417" ht="12.75" customHeight="1">
      <c r="A417" s="74"/>
      <c r="B417" s="74"/>
      <c r="C417" s="74"/>
      <c r="D417" s="74"/>
    </row>
    <row r="418" ht="12.75" customHeight="1">
      <c r="A418" s="74"/>
      <c r="B418" s="74"/>
      <c r="C418" s="74"/>
      <c r="D418" s="74"/>
    </row>
    <row r="419" ht="12.75" customHeight="1">
      <c r="A419" s="74"/>
      <c r="B419" s="74"/>
      <c r="C419" s="74"/>
      <c r="D419" s="74"/>
    </row>
    <row r="420" ht="12.75" customHeight="1">
      <c r="A420" s="74"/>
      <c r="B420" s="74"/>
      <c r="C420" s="74"/>
      <c r="D420" s="74"/>
    </row>
    <row r="421" ht="12.75" customHeight="1">
      <c r="A421" s="74"/>
      <c r="B421" s="74"/>
      <c r="C421" s="74"/>
      <c r="D421" s="74"/>
    </row>
    <row r="422" ht="12.75" customHeight="1">
      <c r="A422" s="74"/>
      <c r="B422" s="74"/>
      <c r="C422" s="74"/>
      <c r="D422" s="74"/>
    </row>
    <row r="423" ht="12.75" customHeight="1">
      <c r="A423" s="74"/>
      <c r="B423" s="74"/>
      <c r="C423" s="74"/>
      <c r="D423" s="74"/>
    </row>
    <row r="424" ht="12.75" customHeight="1">
      <c r="A424" s="74"/>
      <c r="B424" s="74"/>
      <c r="C424" s="74"/>
      <c r="D424" s="74"/>
    </row>
    <row r="425" ht="12.75" customHeight="1">
      <c r="A425" s="74"/>
      <c r="B425" s="74"/>
      <c r="C425" s="74"/>
      <c r="D425" s="74"/>
    </row>
    <row r="426" ht="12.75" customHeight="1">
      <c r="A426" s="74"/>
      <c r="B426" s="74"/>
      <c r="C426" s="74"/>
      <c r="D426" s="74"/>
    </row>
    <row r="427" ht="12.75" customHeight="1">
      <c r="A427" s="74"/>
      <c r="B427" s="74"/>
      <c r="C427" s="74"/>
      <c r="D427" s="74"/>
    </row>
    <row r="428" ht="12.75" customHeight="1">
      <c r="A428" s="74"/>
      <c r="B428" s="74"/>
      <c r="C428" s="74"/>
      <c r="D428" s="74"/>
    </row>
    <row r="429" ht="12.75" customHeight="1">
      <c r="A429" s="74"/>
      <c r="B429" s="74"/>
      <c r="C429" s="74"/>
      <c r="D429" s="74"/>
    </row>
    <row r="430" ht="12.75" customHeight="1">
      <c r="A430" s="74"/>
      <c r="B430" s="74"/>
      <c r="C430" s="74"/>
      <c r="D430" s="74"/>
    </row>
    <row r="431" ht="12.75" customHeight="1">
      <c r="A431" s="74"/>
      <c r="B431" s="74"/>
      <c r="C431" s="74"/>
      <c r="D431" s="74"/>
    </row>
    <row r="432" ht="12.75" customHeight="1">
      <c r="A432" s="74"/>
      <c r="B432" s="74"/>
      <c r="C432" s="74"/>
      <c r="D432" s="74"/>
    </row>
    <row r="433" ht="12.75" customHeight="1">
      <c r="A433" s="74"/>
      <c r="B433" s="74"/>
      <c r="C433" s="74"/>
      <c r="D433" s="74"/>
    </row>
    <row r="434" ht="12.75" customHeight="1">
      <c r="A434" s="74"/>
      <c r="B434" s="74"/>
      <c r="C434" s="74"/>
      <c r="D434" s="74"/>
    </row>
    <row r="435" ht="12.75" customHeight="1">
      <c r="A435" s="74"/>
      <c r="B435" s="74"/>
      <c r="C435" s="74"/>
      <c r="D435" s="74"/>
    </row>
    <row r="436" ht="12.75" customHeight="1">
      <c r="A436" s="74"/>
      <c r="B436" s="74"/>
      <c r="C436" s="74"/>
      <c r="D436" s="74"/>
    </row>
    <row r="437" ht="12.75" customHeight="1">
      <c r="A437" s="74"/>
      <c r="B437" s="74"/>
      <c r="C437" s="74"/>
      <c r="D437" s="74"/>
    </row>
    <row r="438" ht="12.75" customHeight="1">
      <c r="A438" s="74"/>
      <c r="B438" s="74"/>
      <c r="C438" s="74"/>
      <c r="D438" s="74"/>
    </row>
    <row r="439" ht="12.75" customHeight="1">
      <c r="A439" s="74"/>
      <c r="B439" s="74"/>
      <c r="C439" s="74"/>
      <c r="D439" s="74"/>
    </row>
    <row r="440" ht="12.75" customHeight="1">
      <c r="A440" s="74"/>
      <c r="B440" s="74"/>
      <c r="C440" s="74"/>
      <c r="D440" s="74"/>
    </row>
    <row r="441" ht="12.75" customHeight="1">
      <c r="A441" s="74"/>
      <c r="B441" s="74"/>
      <c r="C441" s="74"/>
      <c r="D441" s="74"/>
    </row>
    <row r="442" ht="12.75" customHeight="1">
      <c r="A442" s="74"/>
      <c r="B442" s="74"/>
      <c r="C442" s="74"/>
      <c r="D442" s="74"/>
    </row>
    <row r="443" ht="12.75" customHeight="1">
      <c r="A443" s="74"/>
      <c r="B443" s="74"/>
      <c r="C443" s="74"/>
      <c r="D443" s="74"/>
    </row>
    <row r="444" ht="12.75" customHeight="1">
      <c r="A444" s="74"/>
      <c r="B444" s="74"/>
      <c r="C444" s="74"/>
      <c r="D444" s="74"/>
    </row>
    <row r="445" ht="12.75" customHeight="1">
      <c r="A445" s="74"/>
      <c r="B445" s="74"/>
      <c r="C445" s="74"/>
      <c r="D445" s="74"/>
    </row>
    <row r="446" ht="12.75" customHeight="1">
      <c r="A446" s="74"/>
      <c r="B446" s="74"/>
      <c r="C446" s="74"/>
      <c r="D446" s="74"/>
    </row>
    <row r="447" ht="12.75" customHeight="1">
      <c r="A447" s="74"/>
      <c r="B447" s="74"/>
      <c r="C447" s="74"/>
      <c r="D447" s="74"/>
    </row>
    <row r="448" ht="12.75" customHeight="1">
      <c r="A448" s="74"/>
      <c r="B448" s="74"/>
      <c r="C448" s="74"/>
      <c r="D448" s="74"/>
    </row>
    <row r="449" ht="12.75" customHeight="1">
      <c r="A449" s="74"/>
      <c r="B449" s="74"/>
      <c r="C449" s="74"/>
      <c r="D449" s="74"/>
    </row>
    <row r="450" ht="12.75" customHeight="1">
      <c r="A450" s="74"/>
      <c r="B450" s="74"/>
      <c r="C450" s="74"/>
      <c r="D450" s="74"/>
    </row>
    <row r="451" ht="12.75" customHeight="1">
      <c r="A451" s="74"/>
      <c r="B451" s="74"/>
      <c r="C451" s="74"/>
      <c r="D451" s="74"/>
    </row>
    <row r="452" ht="12.75" customHeight="1">
      <c r="A452" s="74"/>
      <c r="B452" s="74"/>
      <c r="C452" s="74"/>
      <c r="D452" s="74"/>
    </row>
    <row r="453" ht="12.75" customHeight="1">
      <c r="A453" s="74"/>
      <c r="B453" s="74"/>
      <c r="C453" s="74"/>
      <c r="D453" s="74"/>
    </row>
    <row r="454" ht="12.75" customHeight="1">
      <c r="A454" s="74"/>
      <c r="B454" s="74"/>
      <c r="C454" s="74"/>
      <c r="D454" s="74"/>
    </row>
    <row r="455" ht="12.75" customHeight="1">
      <c r="A455" s="74"/>
      <c r="B455" s="74"/>
      <c r="C455" s="74"/>
      <c r="D455" s="74"/>
    </row>
    <row r="456" ht="12.75" customHeight="1">
      <c r="A456" s="74"/>
      <c r="B456" s="74"/>
      <c r="C456" s="74"/>
      <c r="D456" s="74"/>
    </row>
    <row r="457" ht="12.75" customHeight="1">
      <c r="A457" s="74"/>
      <c r="B457" s="74"/>
      <c r="C457" s="74"/>
      <c r="D457" s="74"/>
    </row>
    <row r="458" ht="12.75" customHeight="1">
      <c r="A458" s="74"/>
      <c r="B458" s="74"/>
      <c r="C458" s="74"/>
      <c r="D458" s="74"/>
    </row>
    <row r="459" ht="12.75" customHeight="1">
      <c r="A459" s="74"/>
      <c r="B459" s="74"/>
      <c r="C459" s="74"/>
      <c r="D459" s="74"/>
    </row>
    <row r="460" ht="12.75" customHeight="1">
      <c r="A460" s="74"/>
      <c r="B460" s="74"/>
      <c r="C460" s="74"/>
      <c r="D460" s="74"/>
    </row>
    <row r="461" ht="12.75" customHeight="1">
      <c r="A461" s="74"/>
      <c r="B461" s="74"/>
      <c r="C461" s="74"/>
      <c r="D461" s="74"/>
    </row>
    <row r="462" ht="12.75" customHeight="1">
      <c r="A462" s="74"/>
      <c r="B462" s="74"/>
      <c r="C462" s="74"/>
      <c r="D462" s="74"/>
    </row>
    <row r="463" ht="12.75" customHeight="1">
      <c r="A463" s="74"/>
      <c r="B463" s="74"/>
      <c r="C463" s="74"/>
      <c r="D463" s="74"/>
    </row>
    <row r="464" ht="12.75" customHeight="1">
      <c r="A464" s="74"/>
      <c r="B464" s="74"/>
      <c r="C464" s="74"/>
      <c r="D464" s="74"/>
    </row>
    <row r="465" ht="12.75" customHeight="1">
      <c r="A465" s="74"/>
      <c r="B465" s="74"/>
      <c r="C465" s="74"/>
      <c r="D465" s="74"/>
    </row>
    <row r="466" ht="12.75" customHeight="1">
      <c r="A466" s="74"/>
      <c r="B466" s="74"/>
      <c r="C466" s="74"/>
      <c r="D466" s="74"/>
    </row>
    <row r="467" ht="12.75" customHeight="1">
      <c r="A467" s="74"/>
      <c r="B467" s="74"/>
      <c r="C467" s="74"/>
      <c r="D467" s="74"/>
    </row>
    <row r="468" ht="12.75" customHeight="1">
      <c r="A468" s="74"/>
      <c r="B468" s="74"/>
      <c r="C468" s="74"/>
      <c r="D468" s="74"/>
    </row>
    <row r="469" ht="12.75" customHeight="1">
      <c r="A469" s="74"/>
      <c r="B469" s="74"/>
      <c r="C469" s="74"/>
      <c r="D469" s="74"/>
    </row>
    <row r="470" ht="12.75" customHeight="1">
      <c r="A470" s="74"/>
      <c r="B470" s="74"/>
      <c r="C470" s="74"/>
      <c r="D470" s="74"/>
    </row>
    <row r="471" ht="12.75" customHeight="1">
      <c r="A471" s="74"/>
      <c r="B471" s="74"/>
      <c r="C471" s="74"/>
      <c r="D471" s="74"/>
    </row>
    <row r="472" ht="12.75" customHeight="1">
      <c r="A472" s="74"/>
      <c r="B472" s="74"/>
      <c r="C472" s="74"/>
      <c r="D472" s="74"/>
    </row>
    <row r="473" ht="12.75" customHeight="1">
      <c r="A473" s="74"/>
      <c r="B473" s="74"/>
      <c r="C473" s="74"/>
      <c r="D473" s="74"/>
    </row>
    <row r="474" ht="12.75" customHeight="1">
      <c r="A474" s="74"/>
      <c r="B474" s="74"/>
      <c r="C474" s="74"/>
      <c r="D474" s="74"/>
    </row>
    <row r="475" ht="12.75" customHeight="1">
      <c r="A475" s="74"/>
      <c r="B475" s="74"/>
      <c r="C475" s="74"/>
      <c r="D475" s="74"/>
    </row>
    <row r="476" ht="12.75" customHeight="1">
      <c r="A476" s="74"/>
      <c r="B476" s="74"/>
      <c r="C476" s="74"/>
      <c r="D476" s="74"/>
    </row>
    <row r="477" ht="12.75" customHeight="1">
      <c r="A477" s="74"/>
      <c r="B477" s="74"/>
      <c r="C477" s="74"/>
      <c r="D477" s="74"/>
    </row>
    <row r="478" ht="12.75" customHeight="1">
      <c r="A478" s="74"/>
      <c r="B478" s="74"/>
      <c r="C478" s="74"/>
      <c r="D478" s="74"/>
    </row>
    <row r="479" ht="12.75" customHeight="1">
      <c r="A479" s="74"/>
      <c r="B479" s="74"/>
      <c r="C479" s="74"/>
      <c r="D479" s="74"/>
    </row>
    <row r="480" ht="12.75" customHeight="1">
      <c r="A480" s="74"/>
      <c r="B480" s="74"/>
      <c r="C480" s="74"/>
      <c r="D480" s="74"/>
    </row>
    <row r="481" ht="12.75" customHeight="1">
      <c r="A481" s="74"/>
      <c r="B481" s="74"/>
      <c r="C481" s="74"/>
      <c r="D481" s="74"/>
    </row>
    <row r="482" ht="12.75" customHeight="1">
      <c r="A482" s="74"/>
      <c r="B482" s="74"/>
      <c r="C482" s="74"/>
      <c r="D482" s="74"/>
    </row>
    <row r="483" ht="12.75" customHeight="1">
      <c r="A483" s="74"/>
      <c r="B483" s="74"/>
      <c r="C483" s="74"/>
      <c r="D483" s="74"/>
    </row>
    <row r="484" ht="12.75" customHeight="1">
      <c r="A484" s="74"/>
      <c r="B484" s="74"/>
      <c r="C484" s="74"/>
      <c r="D484" s="74"/>
    </row>
    <row r="485" ht="12.75" customHeight="1">
      <c r="A485" s="74"/>
      <c r="B485" s="74"/>
      <c r="C485" s="74"/>
      <c r="D485" s="74"/>
    </row>
    <row r="486" ht="12.75" customHeight="1">
      <c r="A486" s="74"/>
      <c r="B486" s="74"/>
      <c r="C486" s="74"/>
      <c r="D486" s="74"/>
    </row>
    <row r="487" ht="12.75" customHeight="1">
      <c r="A487" s="74"/>
      <c r="B487" s="74"/>
      <c r="C487" s="74"/>
      <c r="D487" s="74"/>
    </row>
    <row r="488" ht="12.75" customHeight="1">
      <c r="A488" s="74"/>
      <c r="B488" s="74"/>
      <c r="C488" s="74"/>
      <c r="D488" s="74"/>
    </row>
    <row r="489" ht="12.75" customHeight="1">
      <c r="A489" s="74"/>
      <c r="B489" s="74"/>
      <c r="C489" s="74"/>
      <c r="D489" s="74"/>
    </row>
    <row r="490" ht="12.75" customHeight="1">
      <c r="A490" s="74"/>
      <c r="B490" s="74"/>
      <c r="C490" s="74"/>
      <c r="D490" s="74"/>
    </row>
    <row r="491" ht="12.75" customHeight="1">
      <c r="A491" s="74"/>
      <c r="B491" s="74"/>
      <c r="C491" s="74"/>
      <c r="D491" s="74"/>
    </row>
    <row r="492" ht="12.75" customHeight="1">
      <c r="A492" s="74"/>
      <c r="B492" s="74"/>
      <c r="C492" s="74"/>
      <c r="D492" s="74"/>
    </row>
    <row r="493" ht="12.75" customHeight="1">
      <c r="A493" s="74"/>
      <c r="B493" s="74"/>
      <c r="C493" s="74"/>
      <c r="D493" s="74"/>
    </row>
    <row r="494" ht="12.75" customHeight="1">
      <c r="A494" s="74"/>
      <c r="B494" s="74"/>
      <c r="C494" s="74"/>
      <c r="D494" s="74"/>
    </row>
    <row r="495" ht="12.75" customHeight="1">
      <c r="A495" s="74"/>
      <c r="B495" s="74"/>
      <c r="C495" s="74"/>
      <c r="D495" s="74"/>
    </row>
    <row r="496" ht="12.75" customHeight="1">
      <c r="A496" s="74"/>
      <c r="B496" s="74"/>
      <c r="C496" s="74"/>
      <c r="D496" s="74"/>
    </row>
    <row r="497" ht="12.75" customHeight="1">
      <c r="A497" s="74"/>
      <c r="B497" s="74"/>
      <c r="C497" s="74"/>
      <c r="D497" s="74"/>
    </row>
    <row r="498" ht="12.75" customHeight="1">
      <c r="A498" s="74"/>
      <c r="B498" s="74"/>
      <c r="C498" s="74"/>
      <c r="D498" s="74"/>
    </row>
    <row r="499" ht="12.75" customHeight="1">
      <c r="A499" s="74"/>
      <c r="B499" s="74"/>
      <c r="C499" s="74"/>
      <c r="D499" s="74"/>
    </row>
    <row r="500" ht="12.75" customHeight="1">
      <c r="A500" s="74"/>
      <c r="B500" s="74"/>
      <c r="C500" s="74"/>
      <c r="D500" s="74"/>
    </row>
    <row r="501" ht="12.75" customHeight="1">
      <c r="A501" s="74"/>
      <c r="B501" s="74"/>
      <c r="C501" s="74"/>
      <c r="D501" s="74"/>
    </row>
    <row r="502" ht="12.75" customHeight="1">
      <c r="A502" s="74"/>
      <c r="B502" s="74"/>
      <c r="C502" s="74"/>
      <c r="D502" s="74"/>
    </row>
    <row r="503" ht="12.75" customHeight="1">
      <c r="A503" s="74"/>
      <c r="B503" s="74"/>
      <c r="C503" s="74"/>
      <c r="D503" s="74"/>
    </row>
    <row r="504" ht="12.75" customHeight="1">
      <c r="A504" s="74"/>
      <c r="B504" s="74"/>
      <c r="C504" s="74"/>
      <c r="D504" s="74"/>
    </row>
    <row r="505" ht="12.75" customHeight="1">
      <c r="A505" s="74"/>
      <c r="B505" s="74"/>
      <c r="C505" s="74"/>
      <c r="D505" s="74"/>
    </row>
    <row r="506" ht="12.75" customHeight="1">
      <c r="A506" s="74"/>
      <c r="B506" s="74"/>
      <c r="C506" s="74"/>
      <c r="D506" s="74"/>
    </row>
    <row r="507" ht="12.75" customHeight="1">
      <c r="A507" s="74"/>
      <c r="B507" s="74"/>
      <c r="C507" s="74"/>
      <c r="D507" s="74"/>
    </row>
    <row r="508" ht="12.75" customHeight="1">
      <c r="A508" s="74"/>
      <c r="B508" s="74"/>
      <c r="C508" s="74"/>
      <c r="D508" s="74"/>
    </row>
    <row r="509" ht="12.75" customHeight="1">
      <c r="A509" s="74"/>
      <c r="B509" s="74"/>
      <c r="C509" s="74"/>
      <c r="D509" s="74"/>
    </row>
    <row r="510" ht="12.75" customHeight="1">
      <c r="A510" s="74"/>
      <c r="B510" s="74"/>
      <c r="C510" s="74"/>
      <c r="D510" s="74"/>
    </row>
    <row r="511" ht="12.75" customHeight="1">
      <c r="A511" s="74"/>
      <c r="B511" s="74"/>
      <c r="C511" s="74"/>
      <c r="D511" s="74"/>
    </row>
    <row r="512" ht="12.75" customHeight="1">
      <c r="A512" s="74"/>
      <c r="B512" s="74"/>
      <c r="C512" s="74"/>
      <c r="D512" s="74"/>
    </row>
    <row r="513" ht="12.75" customHeight="1">
      <c r="A513" s="74"/>
      <c r="B513" s="74"/>
      <c r="C513" s="74"/>
      <c r="D513" s="74"/>
    </row>
    <row r="514" ht="12.75" customHeight="1">
      <c r="A514" s="74"/>
      <c r="B514" s="74"/>
      <c r="C514" s="74"/>
      <c r="D514" s="74"/>
    </row>
    <row r="515" ht="12.75" customHeight="1">
      <c r="A515" s="74"/>
      <c r="B515" s="74"/>
      <c r="C515" s="74"/>
      <c r="D515" s="74"/>
    </row>
    <row r="516" ht="12.75" customHeight="1">
      <c r="A516" s="74"/>
      <c r="B516" s="74"/>
      <c r="C516" s="74"/>
      <c r="D516" s="74"/>
    </row>
    <row r="517" ht="12.75" customHeight="1">
      <c r="A517" s="74"/>
      <c r="B517" s="74"/>
      <c r="C517" s="74"/>
      <c r="D517" s="74"/>
    </row>
    <row r="518" ht="12.75" customHeight="1">
      <c r="A518" s="74"/>
      <c r="B518" s="74"/>
      <c r="C518" s="74"/>
      <c r="D518" s="74"/>
    </row>
    <row r="519" ht="12.75" customHeight="1">
      <c r="A519" s="74"/>
      <c r="B519" s="74"/>
      <c r="C519" s="74"/>
      <c r="D519" s="74"/>
    </row>
    <row r="520" ht="12.75" customHeight="1">
      <c r="A520" s="74"/>
      <c r="B520" s="74"/>
      <c r="C520" s="74"/>
      <c r="D520" s="74"/>
    </row>
    <row r="521" ht="12.75" customHeight="1">
      <c r="A521" s="74"/>
      <c r="B521" s="74"/>
      <c r="C521" s="74"/>
      <c r="D521" s="74"/>
    </row>
    <row r="522" ht="12.75" customHeight="1">
      <c r="A522" s="74"/>
      <c r="B522" s="74"/>
      <c r="C522" s="74"/>
      <c r="D522" s="74"/>
    </row>
    <row r="523" ht="12.75" customHeight="1">
      <c r="A523" s="74"/>
      <c r="B523" s="74"/>
      <c r="C523" s="74"/>
      <c r="D523" s="74"/>
    </row>
    <row r="524" ht="12.75" customHeight="1">
      <c r="A524" s="74"/>
      <c r="B524" s="74"/>
      <c r="C524" s="74"/>
      <c r="D524" s="74"/>
    </row>
    <row r="525" ht="12.75" customHeight="1">
      <c r="A525" s="74"/>
      <c r="B525" s="74"/>
      <c r="C525" s="74"/>
      <c r="D525" s="74"/>
    </row>
    <row r="526" ht="12.75" customHeight="1">
      <c r="A526" s="74"/>
      <c r="B526" s="74"/>
      <c r="C526" s="74"/>
      <c r="D526" s="74"/>
    </row>
    <row r="527" ht="12.75" customHeight="1">
      <c r="A527" s="74"/>
      <c r="B527" s="74"/>
      <c r="C527" s="74"/>
      <c r="D527" s="74"/>
    </row>
    <row r="528" ht="12.75" customHeight="1">
      <c r="A528" s="74"/>
      <c r="B528" s="74"/>
      <c r="C528" s="74"/>
      <c r="D528" s="74"/>
    </row>
    <row r="529" ht="12.75" customHeight="1">
      <c r="A529" s="74"/>
      <c r="B529" s="74"/>
      <c r="C529" s="74"/>
      <c r="D529" s="74"/>
    </row>
    <row r="530" ht="12.75" customHeight="1">
      <c r="A530" s="74"/>
      <c r="B530" s="74"/>
      <c r="C530" s="74"/>
      <c r="D530" s="74"/>
    </row>
    <row r="531" ht="12.75" customHeight="1">
      <c r="A531" s="74"/>
      <c r="B531" s="74"/>
      <c r="C531" s="74"/>
      <c r="D531" s="74"/>
    </row>
    <row r="532" ht="12.75" customHeight="1">
      <c r="A532" s="74"/>
      <c r="B532" s="74"/>
      <c r="C532" s="74"/>
      <c r="D532" s="74"/>
    </row>
    <row r="533" ht="12.75" customHeight="1">
      <c r="A533" s="74"/>
      <c r="B533" s="74"/>
      <c r="C533" s="74"/>
      <c r="D533" s="74"/>
    </row>
    <row r="534" ht="12.75" customHeight="1">
      <c r="A534" s="74"/>
      <c r="B534" s="74"/>
      <c r="C534" s="74"/>
      <c r="D534" s="74"/>
    </row>
    <row r="535" ht="12.75" customHeight="1">
      <c r="A535" s="74"/>
      <c r="B535" s="74"/>
      <c r="C535" s="74"/>
      <c r="D535" s="74"/>
    </row>
    <row r="536" ht="12.75" customHeight="1">
      <c r="A536" s="74"/>
      <c r="B536" s="74"/>
      <c r="C536" s="74"/>
      <c r="D536" s="74"/>
    </row>
    <row r="537" ht="12.75" customHeight="1">
      <c r="A537" s="74"/>
      <c r="B537" s="74"/>
      <c r="C537" s="74"/>
      <c r="D537" s="74"/>
    </row>
    <row r="538" ht="12.75" customHeight="1">
      <c r="A538" s="74"/>
      <c r="B538" s="74"/>
      <c r="C538" s="74"/>
      <c r="D538" s="74"/>
    </row>
    <row r="539" ht="12.75" customHeight="1">
      <c r="A539" s="74"/>
      <c r="B539" s="74"/>
      <c r="C539" s="74"/>
      <c r="D539" s="74"/>
    </row>
    <row r="540" ht="12.75" customHeight="1">
      <c r="A540" s="74"/>
      <c r="B540" s="74"/>
      <c r="C540" s="74"/>
      <c r="D540" s="74"/>
    </row>
    <row r="541" ht="12.75" customHeight="1">
      <c r="A541" s="74"/>
      <c r="B541" s="74"/>
      <c r="C541" s="74"/>
      <c r="D541" s="74"/>
    </row>
    <row r="542" ht="12.75" customHeight="1">
      <c r="A542" s="74"/>
      <c r="B542" s="74"/>
      <c r="C542" s="74"/>
      <c r="D542" s="74"/>
    </row>
    <row r="543" ht="12.75" customHeight="1">
      <c r="A543" s="74"/>
      <c r="B543" s="74"/>
      <c r="C543" s="74"/>
      <c r="D543" s="74"/>
    </row>
    <row r="544" ht="12.75" customHeight="1">
      <c r="A544" s="74"/>
      <c r="B544" s="74"/>
      <c r="C544" s="74"/>
      <c r="D544" s="74"/>
    </row>
    <row r="545" ht="12.75" customHeight="1">
      <c r="A545" s="74"/>
      <c r="B545" s="74"/>
      <c r="C545" s="74"/>
      <c r="D545" s="74"/>
    </row>
    <row r="546" ht="12.75" customHeight="1">
      <c r="A546" s="74"/>
      <c r="B546" s="74"/>
      <c r="C546" s="74"/>
      <c r="D546" s="74"/>
    </row>
    <row r="547" ht="12.75" customHeight="1">
      <c r="A547" s="74"/>
      <c r="B547" s="74"/>
      <c r="C547" s="74"/>
      <c r="D547" s="74"/>
    </row>
    <row r="548" ht="12.75" customHeight="1">
      <c r="A548" s="74"/>
      <c r="B548" s="74"/>
      <c r="C548" s="74"/>
      <c r="D548" s="74"/>
    </row>
    <row r="549" ht="12.75" customHeight="1">
      <c r="A549" s="74"/>
      <c r="B549" s="74"/>
      <c r="C549" s="74"/>
      <c r="D549" s="74"/>
    </row>
    <row r="550" ht="12.75" customHeight="1">
      <c r="A550" s="74"/>
      <c r="B550" s="74"/>
      <c r="C550" s="74"/>
      <c r="D550" s="74"/>
    </row>
    <row r="551" ht="12.75" customHeight="1">
      <c r="A551" s="74"/>
      <c r="B551" s="74"/>
      <c r="C551" s="74"/>
      <c r="D551" s="74"/>
    </row>
    <row r="552" ht="12.75" customHeight="1">
      <c r="A552" s="74"/>
      <c r="B552" s="74"/>
      <c r="C552" s="74"/>
      <c r="D552" s="74"/>
    </row>
    <row r="553" ht="12.75" customHeight="1">
      <c r="A553" s="74"/>
      <c r="B553" s="74"/>
      <c r="C553" s="74"/>
      <c r="D553" s="74"/>
    </row>
    <row r="554" ht="12.75" customHeight="1">
      <c r="A554" s="74"/>
      <c r="B554" s="74"/>
      <c r="C554" s="74"/>
      <c r="D554" s="74"/>
    </row>
    <row r="555" ht="12.75" customHeight="1">
      <c r="A555" s="74"/>
      <c r="B555" s="74"/>
      <c r="C555" s="74"/>
      <c r="D555" s="74"/>
    </row>
    <row r="556" ht="12.75" customHeight="1">
      <c r="A556" s="74"/>
      <c r="B556" s="74"/>
      <c r="C556" s="74"/>
      <c r="D556" s="74"/>
    </row>
    <row r="557" ht="12.75" customHeight="1">
      <c r="A557" s="74"/>
      <c r="B557" s="74"/>
      <c r="C557" s="74"/>
      <c r="D557" s="74"/>
    </row>
    <row r="558" ht="12.75" customHeight="1">
      <c r="A558" s="74"/>
      <c r="B558" s="74"/>
      <c r="C558" s="74"/>
      <c r="D558" s="74"/>
    </row>
    <row r="559" ht="12.75" customHeight="1">
      <c r="A559" s="74"/>
      <c r="B559" s="74"/>
      <c r="C559" s="74"/>
      <c r="D559" s="74"/>
    </row>
    <row r="560" ht="12.75" customHeight="1">
      <c r="A560" s="74"/>
      <c r="B560" s="74"/>
      <c r="C560" s="74"/>
      <c r="D560" s="74"/>
    </row>
    <row r="561" ht="12.75" customHeight="1">
      <c r="A561" s="74"/>
      <c r="B561" s="74"/>
      <c r="C561" s="74"/>
      <c r="D561" s="74"/>
    </row>
    <row r="562" ht="12.75" customHeight="1">
      <c r="A562" s="74"/>
      <c r="B562" s="74"/>
      <c r="C562" s="74"/>
      <c r="D562" s="74"/>
    </row>
    <row r="563" ht="12.75" customHeight="1">
      <c r="A563" s="74"/>
      <c r="B563" s="74"/>
      <c r="C563" s="74"/>
      <c r="D563" s="74"/>
    </row>
    <row r="564" ht="12.75" customHeight="1">
      <c r="A564" s="74"/>
      <c r="B564" s="74"/>
      <c r="C564" s="74"/>
      <c r="D564" s="74"/>
    </row>
    <row r="565" ht="12.75" customHeight="1">
      <c r="A565" s="74"/>
      <c r="B565" s="74"/>
      <c r="C565" s="74"/>
      <c r="D565" s="74"/>
    </row>
    <row r="566" ht="12.75" customHeight="1">
      <c r="A566" s="74"/>
      <c r="B566" s="74"/>
      <c r="C566" s="74"/>
      <c r="D566" s="74"/>
    </row>
    <row r="567" ht="12.75" customHeight="1">
      <c r="A567" s="74"/>
      <c r="B567" s="74"/>
      <c r="C567" s="74"/>
      <c r="D567" s="74"/>
    </row>
    <row r="568" ht="12.75" customHeight="1">
      <c r="A568" s="74"/>
      <c r="B568" s="74"/>
      <c r="C568" s="74"/>
      <c r="D568" s="74"/>
    </row>
    <row r="569" ht="12.75" customHeight="1">
      <c r="A569" s="74"/>
      <c r="B569" s="74"/>
      <c r="C569" s="74"/>
      <c r="D569" s="74"/>
    </row>
    <row r="570" ht="12.75" customHeight="1">
      <c r="A570" s="74"/>
      <c r="B570" s="74"/>
      <c r="C570" s="74"/>
      <c r="D570" s="74"/>
    </row>
    <row r="571" ht="12.75" customHeight="1">
      <c r="A571" s="74"/>
      <c r="B571" s="74"/>
      <c r="C571" s="74"/>
      <c r="D571" s="74"/>
    </row>
    <row r="572" ht="12.75" customHeight="1">
      <c r="A572" s="74"/>
      <c r="B572" s="74"/>
      <c r="C572" s="74"/>
      <c r="D572" s="74"/>
    </row>
    <row r="573" ht="12.75" customHeight="1">
      <c r="A573" s="74"/>
      <c r="B573" s="74"/>
      <c r="C573" s="74"/>
      <c r="D573" s="74"/>
    </row>
    <row r="574" ht="12.75" customHeight="1">
      <c r="A574" s="74"/>
      <c r="B574" s="74"/>
      <c r="C574" s="74"/>
      <c r="D574" s="74"/>
    </row>
    <row r="575" ht="12.75" customHeight="1">
      <c r="A575" s="74"/>
      <c r="B575" s="74"/>
      <c r="C575" s="74"/>
      <c r="D575" s="74"/>
    </row>
    <row r="576" ht="12.75" customHeight="1">
      <c r="A576" s="74"/>
      <c r="B576" s="74"/>
      <c r="C576" s="74"/>
      <c r="D576" s="74"/>
    </row>
    <row r="577" ht="12.75" customHeight="1">
      <c r="A577" s="74"/>
      <c r="B577" s="74"/>
      <c r="C577" s="74"/>
      <c r="D577" s="74"/>
    </row>
    <row r="578" ht="12.75" customHeight="1">
      <c r="A578" s="74"/>
      <c r="B578" s="74"/>
      <c r="C578" s="74"/>
      <c r="D578" s="74"/>
    </row>
    <row r="579" ht="12.75" customHeight="1">
      <c r="A579" s="74"/>
      <c r="B579" s="74"/>
      <c r="C579" s="74"/>
      <c r="D579" s="74"/>
    </row>
    <row r="580" ht="12.75" customHeight="1">
      <c r="A580" s="74"/>
      <c r="B580" s="74"/>
      <c r="C580" s="74"/>
      <c r="D580" s="74"/>
    </row>
    <row r="581" ht="12.75" customHeight="1">
      <c r="A581" s="74"/>
      <c r="B581" s="74"/>
      <c r="C581" s="74"/>
      <c r="D581" s="74"/>
    </row>
    <row r="582" ht="12.75" customHeight="1">
      <c r="A582" s="74"/>
      <c r="B582" s="74"/>
      <c r="C582" s="74"/>
      <c r="D582" s="74"/>
    </row>
    <row r="583" ht="12.75" customHeight="1">
      <c r="A583" s="74"/>
      <c r="B583" s="74"/>
      <c r="C583" s="74"/>
      <c r="D583" s="74"/>
    </row>
    <row r="584" ht="12.75" customHeight="1">
      <c r="A584" s="74"/>
      <c r="B584" s="74"/>
      <c r="C584" s="74"/>
      <c r="D584" s="74"/>
    </row>
    <row r="585" ht="12.75" customHeight="1">
      <c r="A585" s="74"/>
      <c r="B585" s="74"/>
      <c r="C585" s="74"/>
      <c r="D585" s="74"/>
    </row>
    <row r="586" ht="12.75" customHeight="1">
      <c r="A586" s="74"/>
      <c r="B586" s="74"/>
      <c r="C586" s="74"/>
      <c r="D586" s="74"/>
    </row>
    <row r="587" ht="12.75" customHeight="1">
      <c r="A587" s="74"/>
      <c r="B587" s="74"/>
      <c r="C587" s="74"/>
      <c r="D587" s="74"/>
    </row>
    <row r="588" ht="12.75" customHeight="1">
      <c r="A588" s="74"/>
      <c r="B588" s="74"/>
      <c r="C588" s="74"/>
      <c r="D588" s="74"/>
    </row>
    <row r="589" ht="12.75" customHeight="1">
      <c r="A589" s="74"/>
      <c r="B589" s="74"/>
      <c r="C589" s="74"/>
      <c r="D589" s="74"/>
    </row>
    <row r="590" ht="12.75" customHeight="1">
      <c r="A590" s="74"/>
      <c r="B590" s="74"/>
      <c r="C590" s="74"/>
      <c r="D590" s="74"/>
    </row>
    <row r="591" ht="12.75" customHeight="1">
      <c r="A591" s="74"/>
      <c r="B591" s="74"/>
      <c r="C591" s="74"/>
      <c r="D591" s="74"/>
    </row>
    <row r="592" ht="12.75" customHeight="1">
      <c r="A592" s="74"/>
      <c r="B592" s="74"/>
      <c r="C592" s="74"/>
      <c r="D592" s="74"/>
    </row>
    <row r="593" ht="12.75" customHeight="1">
      <c r="A593" s="74"/>
      <c r="B593" s="74"/>
      <c r="C593" s="74"/>
      <c r="D593" s="74"/>
    </row>
    <row r="594" ht="12.75" customHeight="1">
      <c r="A594" s="74"/>
      <c r="B594" s="74"/>
      <c r="C594" s="74"/>
      <c r="D594" s="74"/>
    </row>
    <row r="595" ht="12.75" customHeight="1">
      <c r="A595" s="74"/>
      <c r="B595" s="74"/>
      <c r="C595" s="74"/>
      <c r="D595" s="74"/>
    </row>
    <row r="596" ht="12.75" customHeight="1">
      <c r="A596" s="74"/>
      <c r="B596" s="74"/>
      <c r="C596" s="74"/>
      <c r="D596" s="74"/>
    </row>
    <row r="597" ht="12.75" customHeight="1">
      <c r="A597" s="74"/>
      <c r="B597" s="74"/>
      <c r="C597" s="74"/>
      <c r="D597" s="74"/>
    </row>
    <row r="598" ht="12.75" customHeight="1">
      <c r="A598" s="74"/>
      <c r="B598" s="74"/>
      <c r="C598" s="74"/>
      <c r="D598" s="74"/>
    </row>
    <row r="599" ht="12.75" customHeight="1">
      <c r="A599" s="74"/>
      <c r="B599" s="74"/>
      <c r="C599" s="74"/>
      <c r="D599" s="74"/>
    </row>
    <row r="600" ht="12.75" customHeight="1">
      <c r="A600" s="74"/>
      <c r="B600" s="74"/>
      <c r="C600" s="74"/>
      <c r="D600" s="74"/>
    </row>
    <row r="601" ht="12.75" customHeight="1">
      <c r="A601" s="74"/>
      <c r="B601" s="74"/>
      <c r="C601" s="74"/>
      <c r="D601" s="74"/>
    </row>
    <row r="602" ht="12.75" customHeight="1">
      <c r="A602" s="74"/>
      <c r="B602" s="74"/>
      <c r="C602" s="74"/>
      <c r="D602" s="74"/>
    </row>
    <row r="603" ht="12.75" customHeight="1">
      <c r="A603" s="74"/>
      <c r="B603" s="74"/>
      <c r="C603" s="74"/>
      <c r="D603" s="74"/>
    </row>
    <row r="604" ht="12.75" customHeight="1">
      <c r="A604" s="74"/>
      <c r="B604" s="74"/>
      <c r="C604" s="74"/>
      <c r="D604" s="74"/>
    </row>
    <row r="605" ht="12.75" customHeight="1">
      <c r="A605" s="74"/>
      <c r="B605" s="74"/>
      <c r="C605" s="74"/>
      <c r="D605" s="74"/>
    </row>
    <row r="606" ht="12.75" customHeight="1">
      <c r="A606" s="74"/>
      <c r="B606" s="74"/>
      <c r="C606" s="74"/>
      <c r="D606" s="74"/>
    </row>
    <row r="607" ht="12.75" customHeight="1">
      <c r="A607" s="74"/>
      <c r="B607" s="74"/>
      <c r="C607" s="74"/>
      <c r="D607" s="74"/>
    </row>
    <row r="608" ht="12.75" customHeight="1">
      <c r="A608" s="74"/>
      <c r="B608" s="74"/>
      <c r="C608" s="74"/>
      <c r="D608" s="74"/>
    </row>
    <row r="609" ht="12.75" customHeight="1">
      <c r="A609" s="74"/>
      <c r="B609" s="74"/>
      <c r="C609" s="74"/>
      <c r="D609" s="74"/>
    </row>
    <row r="610" ht="12.75" customHeight="1">
      <c r="A610" s="74"/>
      <c r="B610" s="74"/>
      <c r="C610" s="74"/>
      <c r="D610" s="74"/>
    </row>
    <row r="611" ht="12.75" customHeight="1">
      <c r="A611" s="74"/>
      <c r="B611" s="74"/>
      <c r="C611" s="74"/>
      <c r="D611" s="74"/>
    </row>
    <row r="612" ht="12.75" customHeight="1">
      <c r="A612" s="74"/>
      <c r="B612" s="74"/>
      <c r="C612" s="74"/>
      <c r="D612" s="74"/>
    </row>
    <row r="613" ht="12.75" customHeight="1">
      <c r="A613" s="74"/>
      <c r="B613" s="74"/>
      <c r="C613" s="74"/>
      <c r="D613" s="74"/>
    </row>
    <row r="614" ht="12.75" customHeight="1">
      <c r="A614" s="74"/>
      <c r="B614" s="74"/>
      <c r="C614" s="74"/>
      <c r="D614" s="74"/>
    </row>
    <row r="615" ht="12.75" customHeight="1">
      <c r="A615" s="74"/>
      <c r="B615" s="74"/>
      <c r="C615" s="74"/>
      <c r="D615" s="74"/>
    </row>
    <row r="616" ht="12.75" customHeight="1">
      <c r="A616" s="74"/>
      <c r="B616" s="74"/>
      <c r="C616" s="74"/>
      <c r="D616" s="74"/>
    </row>
    <row r="617" ht="12.75" customHeight="1">
      <c r="A617" s="74"/>
      <c r="B617" s="74"/>
      <c r="C617" s="74"/>
      <c r="D617" s="74"/>
    </row>
    <row r="618" ht="12.75" customHeight="1">
      <c r="A618" s="74"/>
      <c r="B618" s="74"/>
      <c r="C618" s="74"/>
      <c r="D618" s="74"/>
    </row>
    <row r="619" ht="12.75" customHeight="1">
      <c r="A619" s="74"/>
      <c r="B619" s="74"/>
      <c r="C619" s="74"/>
      <c r="D619" s="74"/>
    </row>
    <row r="620" ht="12.75" customHeight="1">
      <c r="A620" s="74"/>
      <c r="B620" s="74"/>
      <c r="C620" s="74"/>
      <c r="D620" s="74"/>
    </row>
    <row r="621" ht="12.75" customHeight="1">
      <c r="A621" s="74"/>
      <c r="B621" s="74"/>
      <c r="C621" s="74"/>
      <c r="D621" s="74"/>
    </row>
    <row r="622" ht="12.75" customHeight="1">
      <c r="A622" s="74"/>
      <c r="B622" s="74"/>
      <c r="C622" s="74"/>
      <c r="D622" s="74"/>
    </row>
    <row r="623" ht="12.75" customHeight="1">
      <c r="A623" s="74"/>
      <c r="B623" s="74"/>
      <c r="C623" s="74"/>
      <c r="D623" s="74"/>
    </row>
    <row r="624" ht="12.75" customHeight="1">
      <c r="A624" s="74"/>
      <c r="B624" s="74"/>
      <c r="C624" s="74"/>
      <c r="D624" s="74"/>
    </row>
    <row r="625" ht="12.75" customHeight="1">
      <c r="A625" s="74"/>
      <c r="B625" s="74"/>
      <c r="C625" s="74"/>
      <c r="D625" s="74"/>
    </row>
    <row r="626" ht="12.75" customHeight="1">
      <c r="A626" s="74"/>
      <c r="B626" s="74"/>
      <c r="C626" s="74"/>
      <c r="D626" s="74"/>
    </row>
    <row r="627" ht="12.75" customHeight="1">
      <c r="A627" s="74"/>
      <c r="B627" s="74"/>
      <c r="C627" s="74"/>
      <c r="D627" s="74"/>
    </row>
    <row r="628" ht="12.75" customHeight="1">
      <c r="A628" s="74"/>
      <c r="B628" s="74"/>
      <c r="C628" s="74"/>
      <c r="D628" s="74"/>
    </row>
    <row r="629" ht="12.75" customHeight="1">
      <c r="A629" s="74"/>
      <c r="B629" s="74"/>
      <c r="C629" s="74"/>
      <c r="D629" s="74"/>
    </row>
    <row r="630" ht="12.75" customHeight="1">
      <c r="A630" s="74"/>
      <c r="B630" s="74"/>
      <c r="C630" s="74"/>
      <c r="D630" s="74"/>
    </row>
    <row r="631" ht="12.75" customHeight="1">
      <c r="A631" s="74"/>
      <c r="B631" s="74"/>
      <c r="C631" s="74"/>
      <c r="D631" s="74"/>
    </row>
    <row r="632" ht="12.75" customHeight="1">
      <c r="A632" s="74"/>
      <c r="B632" s="74"/>
      <c r="C632" s="74"/>
      <c r="D632" s="74"/>
    </row>
    <row r="633" ht="12.75" customHeight="1">
      <c r="A633" s="74"/>
      <c r="B633" s="74"/>
      <c r="C633" s="74"/>
      <c r="D633" s="74"/>
    </row>
    <row r="634" ht="12.75" customHeight="1">
      <c r="A634" s="74"/>
      <c r="B634" s="74"/>
      <c r="C634" s="74"/>
      <c r="D634" s="74"/>
    </row>
    <row r="635" ht="12.75" customHeight="1">
      <c r="A635" s="74"/>
      <c r="B635" s="74"/>
      <c r="C635" s="74"/>
      <c r="D635" s="74"/>
    </row>
    <row r="636" ht="12.75" customHeight="1">
      <c r="A636" s="74"/>
      <c r="B636" s="74"/>
      <c r="C636" s="74"/>
      <c r="D636" s="74"/>
    </row>
    <row r="637" ht="12.75" customHeight="1">
      <c r="A637" s="74"/>
      <c r="B637" s="74"/>
      <c r="C637" s="74"/>
      <c r="D637" s="74"/>
    </row>
    <row r="638" ht="12.75" customHeight="1">
      <c r="A638" s="74"/>
      <c r="B638" s="74"/>
      <c r="C638" s="74"/>
      <c r="D638" s="74"/>
    </row>
    <row r="639" ht="12.75" customHeight="1">
      <c r="A639" s="74"/>
      <c r="B639" s="74"/>
      <c r="C639" s="74"/>
      <c r="D639" s="74"/>
    </row>
    <row r="640" ht="12.75" customHeight="1">
      <c r="A640" s="74"/>
      <c r="B640" s="74"/>
      <c r="C640" s="74"/>
      <c r="D640" s="74"/>
    </row>
    <row r="641" ht="12.75" customHeight="1">
      <c r="A641" s="74"/>
      <c r="B641" s="74"/>
      <c r="C641" s="74"/>
      <c r="D641" s="74"/>
    </row>
    <row r="642" ht="12.75" customHeight="1">
      <c r="A642" s="74"/>
      <c r="B642" s="74"/>
      <c r="C642" s="74"/>
      <c r="D642" s="74"/>
    </row>
    <row r="643" ht="12.75" customHeight="1">
      <c r="A643" s="74"/>
      <c r="B643" s="74"/>
      <c r="C643" s="74"/>
      <c r="D643" s="74"/>
    </row>
    <row r="644" ht="12.75" customHeight="1">
      <c r="A644" s="74"/>
      <c r="B644" s="74"/>
      <c r="C644" s="74"/>
      <c r="D644" s="74"/>
    </row>
    <row r="645" ht="12.75" customHeight="1">
      <c r="A645" s="74"/>
      <c r="B645" s="74"/>
      <c r="C645" s="74"/>
      <c r="D645" s="74"/>
    </row>
    <row r="646" ht="12.75" customHeight="1">
      <c r="A646" s="74"/>
      <c r="B646" s="74"/>
      <c r="C646" s="74"/>
      <c r="D646" s="74"/>
    </row>
    <row r="647" ht="12.75" customHeight="1">
      <c r="A647" s="74"/>
      <c r="B647" s="74"/>
      <c r="C647" s="74"/>
      <c r="D647" s="74"/>
    </row>
    <row r="648" ht="12.75" customHeight="1">
      <c r="A648" s="74"/>
      <c r="B648" s="74"/>
      <c r="C648" s="74"/>
      <c r="D648" s="74"/>
    </row>
    <row r="649" ht="12.75" customHeight="1">
      <c r="A649" s="74"/>
      <c r="B649" s="74"/>
      <c r="C649" s="74"/>
      <c r="D649" s="74"/>
    </row>
    <row r="650" ht="12.75" customHeight="1">
      <c r="A650" s="74"/>
      <c r="B650" s="74"/>
      <c r="C650" s="74"/>
      <c r="D650" s="74"/>
    </row>
    <row r="651" ht="12.75" customHeight="1">
      <c r="A651" s="74"/>
      <c r="B651" s="74"/>
      <c r="C651" s="74"/>
      <c r="D651" s="74"/>
    </row>
    <row r="652" ht="12.75" customHeight="1">
      <c r="A652" s="74"/>
      <c r="B652" s="74"/>
      <c r="C652" s="74"/>
      <c r="D652" s="74"/>
    </row>
    <row r="653" ht="12.75" customHeight="1">
      <c r="A653" s="74"/>
      <c r="B653" s="74"/>
      <c r="C653" s="74"/>
      <c r="D653" s="74"/>
    </row>
    <row r="654" ht="12.75" customHeight="1">
      <c r="A654" s="74"/>
      <c r="B654" s="74"/>
      <c r="C654" s="74"/>
      <c r="D654" s="74"/>
    </row>
    <row r="655" ht="12.75" customHeight="1">
      <c r="A655" s="74"/>
      <c r="B655" s="74"/>
      <c r="C655" s="74"/>
      <c r="D655" s="74"/>
    </row>
    <row r="656" ht="12.75" customHeight="1">
      <c r="A656" s="74"/>
      <c r="B656" s="74"/>
      <c r="C656" s="74"/>
      <c r="D656" s="74"/>
    </row>
    <row r="657" ht="12.75" customHeight="1">
      <c r="A657" s="74"/>
      <c r="B657" s="74"/>
      <c r="C657" s="74"/>
      <c r="D657" s="74"/>
    </row>
    <row r="658" ht="12.75" customHeight="1">
      <c r="A658" s="74"/>
      <c r="B658" s="74"/>
      <c r="C658" s="74"/>
      <c r="D658" s="74"/>
    </row>
    <row r="659" ht="12.75" customHeight="1">
      <c r="A659" s="74"/>
      <c r="B659" s="74"/>
      <c r="C659" s="74"/>
      <c r="D659" s="74"/>
    </row>
    <row r="660" ht="12.75" customHeight="1">
      <c r="A660" s="74"/>
      <c r="B660" s="74"/>
      <c r="C660" s="74"/>
      <c r="D660" s="74"/>
    </row>
    <row r="661" ht="12.75" customHeight="1">
      <c r="A661" s="74"/>
      <c r="B661" s="74"/>
      <c r="C661" s="74"/>
      <c r="D661" s="74"/>
    </row>
    <row r="662" ht="12.75" customHeight="1">
      <c r="A662" s="74"/>
      <c r="B662" s="74"/>
      <c r="C662" s="74"/>
      <c r="D662" s="74"/>
    </row>
    <row r="663" ht="12.75" customHeight="1">
      <c r="A663" s="74"/>
      <c r="B663" s="74"/>
      <c r="C663" s="74"/>
      <c r="D663" s="74"/>
    </row>
    <row r="664" ht="12.75" customHeight="1">
      <c r="A664" s="74"/>
      <c r="B664" s="74"/>
      <c r="C664" s="74"/>
      <c r="D664" s="74"/>
    </row>
    <row r="665" ht="12.75" customHeight="1">
      <c r="A665" s="74"/>
      <c r="B665" s="74"/>
      <c r="C665" s="74"/>
      <c r="D665" s="74"/>
    </row>
    <row r="666" ht="12.75" customHeight="1">
      <c r="A666" s="74"/>
      <c r="B666" s="74"/>
      <c r="C666" s="74"/>
      <c r="D666" s="74"/>
    </row>
    <row r="667" ht="12.75" customHeight="1">
      <c r="A667" s="74"/>
      <c r="B667" s="74"/>
      <c r="C667" s="74"/>
      <c r="D667" s="74"/>
    </row>
    <row r="668" ht="12.75" customHeight="1">
      <c r="A668" s="74"/>
      <c r="B668" s="74"/>
      <c r="C668" s="74"/>
      <c r="D668" s="74"/>
    </row>
    <row r="669" ht="12.75" customHeight="1">
      <c r="A669" s="74"/>
      <c r="B669" s="74"/>
      <c r="C669" s="74"/>
      <c r="D669" s="74"/>
    </row>
    <row r="670" ht="12.75" customHeight="1">
      <c r="A670" s="74"/>
      <c r="B670" s="74"/>
      <c r="C670" s="74"/>
      <c r="D670" s="74"/>
    </row>
    <row r="671" ht="12.75" customHeight="1">
      <c r="A671" s="74"/>
      <c r="B671" s="74"/>
      <c r="C671" s="74"/>
      <c r="D671" s="74"/>
    </row>
    <row r="672" ht="12.75" customHeight="1">
      <c r="A672" s="74"/>
      <c r="B672" s="74"/>
      <c r="C672" s="74"/>
      <c r="D672" s="74"/>
    </row>
    <row r="673" ht="12.75" customHeight="1">
      <c r="A673" s="74"/>
      <c r="B673" s="74"/>
      <c r="C673" s="74"/>
      <c r="D673" s="74"/>
    </row>
    <row r="674" ht="12.75" customHeight="1">
      <c r="A674" s="74"/>
      <c r="B674" s="74"/>
      <c r="C674" s="74"/>
      <c r="D674" s="74"/>
    </row>
    <row r="675" ht="12.75" customHeight="1">
      <c r="A675" s="74"/>
      <c r="B675" s="74"/>
      <c r="C675" s="74"/>
      <c r="D675" s="74"/>
    </row>
    <row r="676" ht="12.75" customHeight="1">
      <c r="A676" s="74"/>
      <c r="B676" s="74"/>
      <c r="C676" s="74"/>
      <c r="D676" s="74"/>
    </row>
    <row r="677" ht="12.75" customHeight="1">
      <c r="A677" s="74"/>
      <c r="B677" s="74"/>
      <c r="C677" s="74"/>
      <c r="D677" s="74"/>
    </row>
    <row r="678" ht="12.75" customHeight="1">
      <c r="A678" s="74"/>
      <c r="B678" s="74"/>
      <c r="C678" s="74"/>
      <c r="D678" s="74"/>
    </row>
    <row r="679" ht="12.75" customHeight="1">
      <c r="A679" s="74"/>
      <c r="B679" s="74"/>
      <c r="C679" s="74"/>
      <c r="D679" s="74"/>
    </row>
    <row r="680" ht="12.75" customHeight="1">
      <c r="A680" s="74"/>
      <c r="B680" s="74"/>
      <c r="C680" s="74"/>
      <c r="D680" s="74"/>
    </row>
    <row r="681" ht="12.75" customHeight="1">
      <c r="A681" s="74"/>
      <c r="B681" s="74"/>
      <c r="C681" s="74"/>
      <c r="D681" s="74"/>
    </row>
    <row r="682" ht="12.75" customHeight="1">
      <c r="A682" s="74"/>
      <c r="B682" s="74"/>
      <c r="C682" s="74"/>
      <c r="D682" s="74"/>
    </row>
    <row r="683" ht="12.75" customHeight="1">
      <c r="A683" s="74"/>
      <c r="B683" s="74"/>
      <c r="C683" s="74"/>
      <c r="D683" s="74"/>
    </row>
    <row r="684" ht="12.75" customHeight="1">
      <c r="A684" s="74"/>
      <c r="B684" s="74"/>
      <c r="C684" s="74"/>
      <c r="D684" s="74"/>
    </row>
    <row r="685" ht="12.75" customHeight="1">
      <c r="A685" s="74"/>
      <c r="B685" s="74"/>
      <c r="C685" s="74"/>
      <c r="D685" s="74"/>
    </row>
    <row r="686" ht="12.75" customHeight="1">
      <c r="A686" s="74"/>
      <c r="B686" s="74"/>
      <c r="C686" s="74"/>
      <c r="D686" s="74"/>
    </row>
    <row r="687" ht="12.75" customHeight="1">
      <c r="A687" s="74"/>
      <c r="B687" s="74"/>
      <c r="C687" s="74"/>
      <c r="D687" s="74"/>
    </row>
    <row r="688" ht="12.75" customHeight="1">
      <c r="A688" s="74"/>
      <c r="B688" s="74"/>
      <c r="C688" s="74"/>
      <c r="D688" s="74"/>
    </row>
    <row r="689" ht="12.75" customHeight="1">
      <c r="A689" s="74"/>
      <c r="B689" s="74"/>
      <c r="C689" s="74"/>
      <c r="D689" s="74"/>
    </row>
    <row r="690" ht="12.75" customHeight="1">
      <c r="A690" s="74"/>
      <c r="B690" s="74"/>
      <c r="C690" s="74"/>
      <c r="D690" s="74"/>
    </row>
    <row r="691" ht="12.75" customHeight="1">
      <c r="A691" s="74"/>
      <c r="B691" s="74"/>
      <c r="C691" s="74"/>
      <c r="D691" s="74"/>
    </row>
    <row r="692" ht="12.75" customHeight="1">
      <c r="A692" s="74"/>
      <c r="B692" s="74"/>
      <c r="C692" s="74"/>
      <c r="D692" s="74"/>
    </row>
    <row r="693" ht="12.75" customHeight="1">
      <c r="A693" s="74"/>
      <c r="B693" s="74"/>
      <c r="C693" s="74"/>
      <c r="D693" s="74"/>
    </row>
    <row r="694" ht="12.75" customHeight="1">
      <c r="A694" s="74"/>
      <c r="B694" s="74"/>
      <c r="C694" s="74"/>
      <c r="D694" s="74"/>
    </row>
    <row r="695" ht="12.75" customHeight="1">
      <c r="A695" s="74"/>
      <c r="B695" s="74"/>
      <c r="C695" s="74"/>
      <c r="D695" s="74"/>
    </row>
    <row r="696" ht="12.75" customHeight="1">
      <c r="A696" s="74"/>
      <c r="B696" s="74"/>
      <c r="C696" s="74"/>
      <c r="D696" s="74"/>
    </row>
    <row r="697" ht="12.75" customHeight="1">
      <c r="A697" s="74"/>
      <c r="B697" s="74"/>
      <c r="C697" s="74"/>
      <c r="D697" s="74"/>
    </row>
    <row r="698" ht="12.75" customHeight="1">
      <c r="A698" s="74"/>
      <c r="B698" s="74"/>
      <c r="C698" s="74"/>
      <c r="D698" s="74"/>
    </row>
    <row r="699" ht="12.75" customHeight="1">
      <c r="A699" s="74"/>
      <c r="B699" s="74"/>
      <c r="C699" s="74"/>
      <c r="D699" s="74"/>
    </row>
    <row r="700" ht="12.75" customHeight="1">
      <c r="A700" s="74"/>
      <c r="B700" s="74"/>
      <c r="C700" s="74"/>
      <c r="D700" s="74"/>
    </row>
    <row r="701" ht="12.75" customHeight="1">
      <c r="A701" s="74"/>
      <c r="B701" s="74"/>
      <c r="C701" s="74"/>
      <c r="D701" s="74"/>
    </row>
    <row r="702" ht="12.75" customHeight="1">
      <c r="A702" s="74"/>
      <c r="B702" s="74"/>
      <c r="C702" s="74"/>
      <c r="D702" s="74"/>
    </row>
    <row r="703" ht="12.75" customHeight="1">
      <c r="A703" s="74"/>
      <c r="B703" s="74"/>
      <c r="C703" s="74"/>
      <c r="D703" s="74"/>
    </row>
    <row r="704" ht="12.75" customHeight="1">
      <c r="A704" s="74"/>
      <c r="B704" s="74"/>
      <c r="C704" s="74"/>
      <c r="D704" s="74"/>
    </row>
    <row r="705" ht="12.75" customHeight="1">
      <c r="A705" s="74"/>
      <c r="B705" s="74"/>
      <c r="C705" s="74"/>
      <c r="D705" s="74"/>
    </row>
    <row r="706" ht="12.75" customHeight="1">
      <c r="A706" s="74"/>
      <c r="B706" s="74"/>
      <c r="C706" s="74"/>
      <c r="D706" s="74"/>
    </row>
    <row r="707" ht="12.75" customHeight="1">
      <c r="A707" s="74"/>
      <c r="B707" s="74"/>
      <c r="C707" s="74"/>
      <c r="D707" s="74"/>
    </row>
    <row r="708" ht="12.75" customHeight="1">
      <c r="A708" s="74"/>
      <c r="B708" s="74"/>
      <c r="C708" s="74"/>
      <c r="D708" s="74"/>
    </row>
    <row r="709" ht="12.75" customHeight="1">
      <c r="A709" s="74"/>
      <c r="B709" s="74"/>
      <c r="C709" s="74"/>
      <c r="D709" s="74"/>
    </row>
    <row r="710" ht="12.75" customHeight="1">
      <c r="A710" s="74"/>
      <c r="B710" s="74"/>
      <c r="C710" s="74"/>
      <c r="D710" s="74"/>
    </row>
    <row r="711" ht="12.75" customHeight="1">
      <c r="A711" s="74"/>
      <c r="B711" s="74"/>
      <c r="C711" s="74"/>
      <c r="D711" s="74"/>
    </row>
    <row r="712" ht="12.75" customHeight="1">
      <c r="A712" s="74"/>
      <c r="B712" s="74"/>
      <c r="C712" s="74"/>
      <c r="D712" s="74"/>
    </row>
    <row r="713" ht="12.75" customHeight="1">
      <c r="A713" s="74"/>
      <c r="B713" s="74"/>
      <c r="C713" s="74"/>
      <c r="D713" s="74"/>
    </row>
    <row r="714" ht="12.75" customHeight="1">
      <c r="A714" s="74"/>
      <c r="B714" s="74"/>
      <c r="C714" s="74"/>
      <c r="D714" s="74"/>
    </row>
    <row r="715" ht="12.75" customHeight="1">
      <c r="A715" s="74"/>
      <c r="B715" s="74"/>
      <c r="C715" s="74"/>
      <c r="D715" s="74"/>
    </row>
    <row r="716" ht="12.75" customHeight="1">
      <c r="A716" s="74"/>
      <c r="B716" s="74"/>
      <c r="C716" s="74"/>
      <c r="D716" s="74"/>
    </row>
    <row r="717" ht="12.75" customHeight="1">
      <c r="A717" s="74"/>
      <c r="B717" s="74"/>
      <c r="C717" s="74"/>
      <c r="D717" s="74"/>
    </row>
    <row r="718" ht="12.75" customHeight="1">
      <c r="A718" s="74"/>
      <c r="B718" s="74"/>
      <c r="C718" s="74"/>
      <c r="D718" s="74"/>
    </row>
    <row r="719" ht="12.75" customHeight="1">
      <c r="A719" s="74"/>
      <c r="B719" s="74"/>
      <c r="C719" s="74"/>
      <c r="D719" s="74"/>
    </row>
    <row r="720" ht="12.75" customHeight="1">
      <c r="A720" s="74"/>
      <c r="B720" s="74"/>
      <c r="C720" s="74"/>
      <c r="D720" s="74"/>
    </row>
    <row r="721" ht="12.75" customHeight="1">
      <c r="A721" s="74"/>
      <c r="B721" s="74"/>
      <c r="C721" s="74"/>
      <c r="D721" s="74"/>
    </row>
    <row r="722" ht="12.75" customHeight="1">
      <c r="A722" s="74"/>
      <c r="B722" s="74"/>
      <c r="C722" s="74"/>
      <c r="D722" s="74"/>
    </row>
    <row r="723" ht="12.75" customHeight="1">
      <c r="A723" s="74"/>
      <c r="B723" s="74"/>
      <c r="C723" s="74"/>
      <c r="D723" s="74"/>
    </row>
    <row r="724" ht="12.75" customHeight="1">
      <c r="A724" s="74"/>
      <c r="B724" s="74"/>
      <c r="C724" s="74"/>
      <c r="D724" s="74"/>
    </row>
    <row r="725" ht="12.75" customHeight="1">
      <c r="A725" s="74"/>
      <c r="B725" s="74"/>
      <c r="C725" s="74"/>
      <c r="D725" s="74"/>
    </row>
    <row r="726" ht="12.75" customHeight="1">
      <c r="A726" s="74"/>
      <c r="B726" s="74"/>
      <c r="C726" s="74"/>
      <c r="D726" s="74"/>
    </row>
    <row r="727" ht="12.75" customHeight="1">
      <c r="A727" s="74"/>
      <c r="B727" s="74"/>
      <c r="C727" s="74"/>
      <c r="D727" s="74"/>
    </row>
    <row r="728" ht="12.75" customHeight="1">
      <c r="A728" s="74"/>
      <c r="B728" s="74"/>
      <c r="C728" s="74"/>
      <c r="D728" s="74"/>
    </row>
    <row r="729" ht="12.75" customHeight="1">
      <c r="A729" s="74"/>
      <c r="B729" s="74"/>
      <c r="C729" s="74"/>
      <c r="D729" s="74"/>
    </row>
    <row r="730" ht="12.75" customHeight="1">
      <c r="A730" s="74"/>
      <c r="B730" s="74"/>
      <c r="C730" s="74"/>
      <c r="D730" s="74"/>
    </row>
    <row r="731" ht="12.75" customHeight="1">
      <c r="A731" s="74"/>
      <c r="B731" s="74"/>
      <c r="C731" s="74"/>
      <c r="D731" s="74"/>
    </row>
    <row r="732" ht="12.75" customHeight="1">
      <c r="A732" s="74"/>
      <c r="B732" s="74"/>
      <c r="C732" s="74"/>
      <c r="D732" s="74"/>
    </row>
    <row r="733" ht="12.75" customHeight="1">
      <c r="A733" s="74"/>
      <c r="B733" s="74"/>
      <c r="C733" s="74"/>
      <c r="D733" s="74"/>
    </row>
    <row r="734" ht="12.75" customHeight="1">
      <c r="A734" s="74"/>
      <c r="B734" s="74"/>
      <c r="C734" s="74"/>
      <c r="D734" s="74"/>
    </row>
    <row r="735" ht="12.75" customHeight="1">
      <c r="A735" s="74"/>
      <c r="B735" s="74"/>
      <c r="C735" s="74"/>
      <c r="D735" s="74"/>
    </row>
    <row r="736" ht="12.75" customHeight="1">
      <c r="A736" s="74"/>
      <c r="B736" s="74"/>
      <c r="C736" s="74"/>
      <c r="D736" s="74"/>
    </row>
    <row r="737" ht="12.75" customHeight="1">
      <c r="A737" s="74"/>
      <c r="B737" s="74"/>
      <c r="C737" s="74"/>
      <c r="D737" s="74"/>
    </row>
    <row r="738" ht="12.75" customHeight="1">
      <c r="A738" s="74"/>
      <c r="B738" s="74"/>
      <c r="C738" s="74"/>
      <c r="D738" s="74"/>
    </row>
    <row r="739" ht="12.75" customHeight="1">
      <c r="A739" s="74"/>
      <c r="B739" s="74"/>
      <c r="C739" s="74"/>
      <c r="D739" s="74"/>
    </row>
    <row r="740" ht="12.75" customHeight="1">
      <c r="A740" s="74"/>
      <c r="B740" s="74"/>
      <c r="C740" s="74"/>
      <c r="D740" s="74"/>
    </row>
    <row r="741" ht="12.75" customHeight="1">
      <c r="A741" s="74"/>
      <c r="B741" s="74"/>
      <c r="C741" s="74"/>
      <c r="D741" s="74"/>
    </row>
    <row r="742" ht="12.75" customHeight="1">
      <c r="A742" s="74"/>
      <c r="B742" s="74"/>
      <c r="C742" s="74"/>
      <c r="D742" s="74"/>
    </row>
    <row r="743" ht="12.75" customHeight="1">
      <c r="A743" s="74"/>
      <c r="B743" s="74"/>
      <c r="C743" s="74"/>
      <c r="D743" s="74"/>
    </row>
    <row r="744" ht="12.75" customHeight="1">
      <c r="A744" s="74"/>
      <c r="B744" s="74"/>
      <c r="C744" s="74"/>
      <c r="D744" s="74"/>
    </row>
    <row r="745" ht="12.75" customHeight="1">
      <c r="A745" s="74"/>
      <c r="B745" s="74"/>
      <c r="C745" s="74"/>
      <c r="D745" s="74"/>
    </row>
    <row r="746" ht="12.75" customHeight="1">
      <c r="A746" s="74"/>
      <c r="B746" s="74"/>
      <c r="C746" s="74"/>
      <c r="D746" s="74"/>
    </row>
    <row r="747" ht="12.75" customHeight="1">
      <c r="A747" s="74"/>
      <c r="B747" s="74"/>
      <c r="C747" s="74"/>
      <c r="D747" s="74"/>
    </row>
    <row r="748" ht="12.75" customHeight="1">
      <c r="A748" s="74"/>
      <c r="B748" s="74"/>
      <c r="C748" s="74"/>
      <c r="D748" s="74"/>
    </row>
    <row r="749" ht="12.75" customHeight="1">
      <c r="A749" s="74"/>
      <c r="B749" s="74"/>
      <c r="C749" s="74"/>
      <c r="D749" s="74"/>
    </row>
    <row r="750" ht="12.75" customHeight="1">
      <c r="A750" s="74"/>
      <c r="B750" s="74"/>
      <c r="C750" s="74"/>
      <c r="D750" s="74"/>
    </row>
    <row r="751" ht="12.75" customHeight="1">
      <c r="A751" s="74"/>
      <c r="B751" s="74"/>
      <c r="C751" s="74"/>
      <c r="D751" s="74"/>
    </row>
    <row r="752" ht="12.75" customHeight="1">
      <c r="A752" s="74"/>
      <c r="B752" s="74"/>
      <c r="C752" s="74"/>
      <c r="D752" s="74"/>
    </row>
    <row r="753" ht="12.75" customHeight="1">
      <c r="A753" s="74"/>
      <c r="B753" s="74"/>
      <c r="C753" s="74"/>
      <c r="D753" s="74"/>
    </row>
    <row r="754" ht="12.75" customHeight="1">
      <c r="A754" s="74"/>
      <c r="B754" s="74"/>
      <c r="C754" s="74"/>
      <c r="D754" s="74"/>
    </row>
    <row r="755" ht="12.75" customHeight="1">
      <c r="A755" s="74"/>
      <c r="B755" s="74"/>
      <c r="C755" s="74"/>
      <c r="D755" s="74"/>
    </row>
    <row r="756" ht="12.75" customHeight="1">
      <c r="A756" s="74"/>
      <c r="B756" s="74"/>
      <c r="C756" s="74"/>
      <c r="D756" s="74"/>
    </row>
    <row r="757" ht="12.75" customHeight="1">
      <c r="A757" s="74"/>
      <c r="B757" s="74"/>
      <c r="C757" s="74"/>
      <c r="D757" s="74"/>
    </row>
    <row r="758" ht="12.75" customHeight="1">
      <c r="A758" s="74"/>
      <c r="B758" s="74"/>
      <c r="C758" s="74"/>
      <c r="D758" s="74"/>
    </row>
    <row r="759" ht="12.75" customHeight="1">
      <c r="A759" s="74"/>
      <c r="B759" s="74"/>
      <c r="C759" s="74"/>
      <c r="D759" s="74"/>
    </row>
    <row r="760" ht="12.75" customHeight="1">
      <c r="A760" s="74"/>
      <c r="B760" s="74"/>
      <c r="C760" s="74"/>
      <c r="D760" s="74"/>
    </row>
    <row r="761" ht="12.75" customHeight="1">
      <c r="A761" s="74"/>
      <c r="B761" s="74"/>
      <c r="C761" s="74"/>
      <c r="D761" s="74"/>
    </row>
    <row r="762" ht="12.75" customHeight="1">
      <c r="A762" s="74"/>
      <c r="B762" s="74"/>
      <c r="C762" s="74"/>
      <c r="D762" s="74"/>
    </row>
    <row r="763" ht="12.75" customHeight="1">
      <c r="A763" s="74"/>
      <c r="B763" s="74"/>
      <c r="C763" s="74"/>
      <c r="D763" s="74"/>
    </row>
    <row r="764" ht="12.75" customHeight="1">
      <c r="A764" s="74"/>
      <c r="B764" s="74"/>
      <c r="C764" s="74"/>
      <c r="D764" s="74"/>
    </row>
    <row r="765" ht="12.75" customHeight="1">
      <c r="A765" s="74"/>
      <c r="B765" s="74"/>
      <c r="C765" s="74"/>
      <c r="D765" s="74"/>
    </row>
    <row r="766" ht="12.75" customHeight="1">
      <c r="A766" s="74"/>
      <c r="B766" s="74"/>
      <c r="C766" s="74"/>
      <c r="D766" s="74"/>
    </row>
    <row r="767" ht="12.75" customHeight="1">
      <c r="A767" s="74"/>
      <c r="B767" s="74"/>
      <c r="C767" s="74"/>
      <c r="D767" s="74"/>
    </row>
    <row r="768" ht="12.75" customHeight="1">
      <c r="A768" s="74"/>
      <c r="B768" s="74"/>
      <c r="C768" s="74"/>
      <c r="D768" s="74"/>
    </row>
    <row r="769" ht="12.75" customHeight="1">
      <c r="A769" s="74"/>
      <c r="B769" s="74"/>
      <c r="C769" s="74"/>
      <c r="D769" s="74"/>
    </row>
    <row r="770" ht="12.75" customHeight="1">
      <c r="A770" s="74"/>
      <c r="B770" s="74"/>
      <c r="C770" s="74"/>
      <c r="D770" s="74"/>
    </row>
    <row r="771" ht="12.75" customHeight="1">
      <c r="A771" s="74"/>
      <c r="B771" s="74"/>
      <c r="C771" s="74"/>
      <c r="D771" s="74"/>
    </row>
    <row r="772" ht="12.75" customHeight="1">
      <c r="A772" s="74"/>
      <c r="B772" s="74"/>
      <c r="C772" s="74"/>
      <c r="D772" s="74"/>
    </row>
    <row r="773" ht="12.75" customHeight="1">
      <c r="A773" s="74"/>
      <c r="B773" s="74"/>
      <c r="C773" s="74"/>
      <c r="D773" s="74"/>
    </row>
    <row r="774" ht="12.75" customHeight="1">
      <c r="A774" s="74"/>
      <c r="B774" s="74"/>
      <c r="C774" s="74"/>
      <c r="D774" s="74"/>
    </row>
    <row r="775" ht="12.75" customHeight="1">
      <c r="A775" s="74"/>
      <c r="B775" s="74"/>
      <c r="C775" s="74"/>
      <c r="D775" s="74"/>
    </row>
    <row r="776" ht="12.75" customHeight="1">
      <c r="A776" s="74"/>
      <c r="B776" s="74"/>
      <c r="C776" s="74"/>
      <c r="D776" s="74"/>
    </row>
    <row r="777" ht="12.75" customHeight="1">
      <c r="A777" s="74"/>
      <c r="B777" s="74"/>
      <c r="C777" s="74"/>
      <c r="D777" s="74"/>
    </row>
    <row r="778" ht="12.75" customHeight="1">
      <c r="A778" s="74"/>
      <c r="B778" s="74"/>
      <c r="C778" s="74"/>
      <c r="D778" s="74"/>
    </row>
    <row r="779" ht="12.75" customHeight="1">
      <c r="A779" s="74"/>
      <c r="B779" s="74"/>
      <c r="C779" s="74"/>
      <c r="D779" s="74"/>
    </row>
    <row r="780" ht="12.75" customHeight="1">
      <c r="A780" s="74"/>
      <c r="B780" s="74"/>
      <c r="C780" s="74"/>
      <c r="D780" s="74"/>
    </row>
    <row r="781" ht="12.75" customHeight="1">
      <c r="A781" s="74"/>
      <c r="B781" s="74"/>
      <c r="C781" s="74"/>
      <c r="D781" s="74"/>
    </row>
    <row r="782" ht="12.75" customHeight="1">
      <c r="A782" s="74"/>
      <c r="B782" s="74"/>
      <c r="C782" s="74"/>
      <c r="D782" s="74"/>
    </row>
    <row r="783" ht="12.75" customHeight="1">
      <c r="A783" s="74"/>
      <c r="B783" s="74"/>
      <c r="C783" s="74"/>
      <c r="D783" s="74"/>
    </row>
    <row r="784" ht="12.75" customHeight="1">
      <c r="A784" s="74"/>
      <c r="B784" s="74"/>
      <c r="C784" s="74"/>
      <c r="D784" s="74"/>
    </row>
    <row r="785" ht="12.75" customHeight="1">
      <c r="A785" s="74"/>
      <c r="B785" s="74"/>
      <c r="C785" s="74"/>
      <c r="D785" s="74"/>
    </row>
    <row r="786" ht="12.75" customHeight="1">
      <c r="A786" s="74"/>
      <c r="B786" s="74"/>
      <c r="C786" s="74"/>
      <c r="D786" s="74"/>
    </row>
    <row r="787" ht="12.75" customHeight="1">
      <c r="A787" s="74"/>
      <c r="B787" s="74"/>
      <c r="C787" s="74"/>
      <c r="D787" s="74"/>
    </row>
    <row r="788" ht="12.75" customHeight="1">
      <c r="A788" s="74"/>
      <c r="B788" s="74"/>
      <c r="C788" s="74"/>
      <c r="D788" s="74"/>
    </row>
    <row r="789" ht="12.75" customHeight="1">
      <c r="A789" s="74"/>
      <c r="B789" s="74"/>
      <c r="C789" s="74"/>
      <c r="D789" s="74"/>
    </row>
    <row r="790" ht="12.75" customHeight="1">
      <c r="A790" s="74"/>
      <c r="B790" s="74"/>
      <c r="C790" s="74"/>
      <c r="D790" s="74"/>
    </row>
    <row r="791" ht="12.75" customHeight="1">
      <c r="A791" s="74"/>
      <c r="B791" s="74"/>
      <c r="C791" s="74"/>
      <c r="D791" s="74"/>
    </row>
    <row r="792" ht="12.75" customHeight="1">
      <c r="A792" s="74"/>
      <c r="B792" s="74"/>
      <c r="C792" s="74"/>
      <c r="D792" s="74"/>
    </row>
    <row r="793" ht="12.75" customHeight="1">
      <c r="A793" s="74"/>
      <c r="B793" s="74"/>
      <c r="C793" s="74"/>
      <c r="D793" s="74"/>
    </row>
    <row r="794" ht="12.75" customHeight="1">
      <c r="A794" s="74"/>
      <c r="B794" s="74"/>
      <c r="C794" s="74"/>
      <c r="D794" s="74"/>
    </row>
    <row r="795" ht="12.75" customHeight="1">
      <c r="A795" s="74"/>
      <c r="B795" s="74"/>
      <c r="C795" s="74"/>
      <c r="D795" s="74"/>
    </row>
    <row r="796" ht="12.75" customHeight="1">
      <c r="A796" s="74"/>
      <c r="B796" s="74"/>
      <c r="C796" s="74"/>
      <c r="D796" s="74"/>
    </row>
    <row r="797" ht="12.75" customHeight="1">
      <c r="A797" s="74"/>
      <c r="B797" s="74"/>
      <c r="C797" s="74"/>
      <c r="D797" s="74"/>
    </row>
    <row r="798" ht="12.75" customHeight="1">
      <c r="A798" s="74"/>
      <c r="B798" s="74"/>
      <c r="C798" s="74"/>
      <c r="D798" s="74"/>
    </row>
    <row r="799" ht="12.75" customHeight="1">
      <c r="A799" s="74"/>
      <c r="B799" s="74"/>
      <c r="C799" s="74"/>
      <c r="D799" s="74"/>
    </row>
    <row r="800" ht="12.75" customHeight="1">
      <c r="A800" s="74"/>
      <c r="B800" s="74"/>
      <c r="C800" s="74"/>
      <c r="D800" s="74"/>
    </row>
    <row r="801" ht="12.75" customHeight="1">
      <c r="A801" s="74"/>
      <c r="B801" s="74"/>
      <c r="C801" s="74"/>
      <c r="D801" s="74"/>
    </row>
    <row r="802" ht="12.75" customHeight="1">
      <c r="A802" s="74"/>
      <c r="B802" s="74"/>
      <c r="C802" s="74"/>
      <c r="D802" s="74"/>
    </row>
    <row r="803" ht="12.75" customHeight="1">
      <c r="A803" s="74"/>
      <c r="B803" s="74"/>
      <c r="C803" s="74"/>
      <c r="D803" s="74"/>
    </row>
    <row r="804" ht="12.75" customHeight="1">
      <c r="A804" s="74"/>
      <c r="B804" s="74"/>
      <c r="C804" s="74"/>
      <c r="D804" s="74"/>
    </row>
    <row r="805" ht="12.75" customHeight="1">
      <c r="A805" s="74"/>
      <c r="B805" s="74"/>
      <c r="C805" s="74"/>
      <c r="D805" s="74"/>
    </row>
    <row r="806" ht="12.75" customHeight="1">
      <c r="A806" s="74"/>
      <c r="B806" s="74"/>
      <c r="C806" s="74"/>
      <c r="D806" s="74"/>
    </row>
    <row r="807" ht="12.75" customHeight="1">
      <c r="A807" s="74"/>
      <c r="B807" s="74"/>
      <c r="C807" s="74"/>
      <c r="D807" s="74"/>
    </row>
    <row r="808" ht="12.75" customHeight="1">
      <c r="A808" s="74"/>
      <c r="B808" s="74"/>
      <c r="C808" s="74"/>
      <c r="D808" s="74"/>
    </row>
    <row r="809" ht="12.75" customHeight="1">
      <c r="A809" s="74"/>
      <c r="B809" s="74"/>
      <c r="C809" s="74"/>
      <c r="D809" s="74"/>
    </row>
    <row r="810" ht="12.75" customHeight="1">
      <c r="A810" s="74"/>
      <c r="B810" s="74"/>
      <c r="C810" s="74"/>
      <c r="D810" s="74"/>
    </row>
    <row r="811" ht="12.75" customHeight="1">
      <c r="A811" s="74"/>
      <c r="B811" s="74"/>
      <c r="C811" s="74"/>
      <c r="D811" s="74"/>
    </row>
    <row r="812" ht="12.75" customHeight="1">
      <c r="A812" s="74"/>
      <c r="B812" s="74"/>
      <c r="C812" s="74"/>
      <c r="D812" s="74"/>
    </row>
    <row r="813" ht="12.75" customHeight="1">
      <c r="A813" s="74"/>
      <c r="B813" s="74"/>
      <c r="C813" s="74"/>
      <c r="D813" s="74"/>
    </row>
    <row r="814" ht="12.75" customHeight="1">
      <c r="A814" s="74"/>
      <c r="B814" s="74"/>
      <c r="C814" s="74"/>
      <c r="D814" s="74"/>
    </row>
    <row r="815" ht="12.75" customHeight="1">
      <c r="A815" s="74"/>
      <c r="B815" s="74"/>
      <c r="C815" s="74"/>
      <c r="D815" s="74"/>
    </row>
    <row r="816" ht="12.75" customHeight="1">
      <c r="A816" s="74"/>
      <c r="B816" s="74"/>
      <c r="C816" s="74"/>
      <c r="D816" s="74"/>
    </row>
    <row r="817" ht="12.75" customHeight="1">
      <c r="A817" s="74"/>
      <c r="B817" s="74"/>
      <c r="C817" s="74"/>
      <c r="D817" s="74"/>
    </row>
    <row r="818" ht="12.75" customHeight="1">
      <c r="A818" s="74"/>
      <c r="B818" s="74"/>
      <c r="C818" s="74"/>
      <c r="D818" s="74"/>
    </row>
    <row r="819" ht="12.75" customHeight="1">
      <c r="A819" s="74"/>
      <c r="B819" s="74"/>
      <c r="C819" s="74"/>
      <c r="D819" s="74"/>
    </row>
    <row r="820" ht="12.75" customHeight="1">
      <c r="A820" s="74"/>
      <c r="B820" s="74"/>
      <c r="C820" s="74"/>
      <c r="D820" s="74"/>
    </row>
    <row r="821" ht="12.75" customHeight="1">
      <c r="A821" s="74"/>
      <c r="B821" s="74"/>
      <c r="C821" s="74"/>
      <c r="D821" s="74"/>
    </row>
    <row r="822" ht="12.75" customHeight="1">
      <c r="A822" s="74"/>
      <c r="B822" s="74"/>
      <c r="C822" s="74"/>
      <c r="D822" s="74"/>
    </row>
    <row r="823" ht="12.75" customHeight="1">
      <c r="A823" s="74"/>
      <c r="B823" s="74"/>
      <c r="C823" s="74"/>
      <c r="D823" s="74"/>
    </row>
    <row r="824" ht="12.75" customHeight="1">
      <c r="A824" s="74"/>
      <c r="B824" s="74"/>
      <c r="C824" s="74"/>
      <c r="D824" s="74"/>
    </row>
    <row r="825" ht="12.75" customHeight="1">
      <c r="A825" s="74"/>
      <c r="B825" s="74"/>
      <c r="C825" s="74"/>
      <c r="D825" s="74"/>
    </row>
    <row r="826" ht="12.75" customHeight="1">
      <c r="A826" s="74"/>
      <c r="B826" s="74"/>
      <c r="C826" s="74"/>
      <c r="D826" s="74"/>
    </row>
    <row r="827" ht="12.75" customHeight="1">
      <c r="A827" s="74"/>
      <c r="B827" s="74"/>
      <c r="C827" s="74"/>
      <c r="D827" s="74"/>
    </row>
    <row r="828" ht="12.75" customHeight="1">
      <c r="A828" s="74"/>
      <c r="B828" s="74"/>
      <c r="C828" s="74"/>
      <c r="D828" s="74"/>
    </row>
    <row r="829" ht="12.75" customHeight="1">
      <c r="A829" s="74"/>
      <c r="B829" s="74"/>
      <c r="C829" s="74"/>
      <c r="D829" s="74"/>
    </row>
    <row r="830" ht="12.75" customHeight="1">
      <c r="A830" s="74"/>
      <c r="B830" s="74"/>
      <c r="C830" s="74"/>
      <c r="D830" s="74"/>
    </row>
    <row r="831" ht="12.75" customHeight="1">
      <c r="A831" s="74"/>
      <c r="B831" s="74"/>
      <c r="C831" s="74"/>
      <c r="D831" s="74"/>
    </row>
    <row r="832" ht="12.75" customHeight="1">
      <c r="A832" s="74"/>
      <c r="B832" s="74"/>
      <c r="C832" s="74"/>
      <c r="D832" s="74"/>
    </row>
    <row r="833" ht="12.75" customHeight="1">
      <c r="A833" s="74"/>
      <c r="B833" s="74"/>
      <c r="C833" s="74"/>
      <c r="D833" s="74"/>
    </row>
    <row r="834" ht="12.75" customHeight="1">
      <c r="A834" s="74"/>
      <c r="B834" s="74"/>
      <c r="C834" s="74"/>
      <c r="D834" s="74"/>
    </row>
    <row r="835" ht="12.75" customHeight="1">
      <c r="A835" s="74"/>
      <c r="B835" s="74"/>
      <c r="C835" s="74"/>
      <c r="D835" s="74"/>
    </row>
    <row r="836" ht="12.75" customHeight="1">
      <c r="A836" s="74"/>
      <c r="B836" s="74"/>
      <c r="C836" s="74"/>
      <c r="D836" s="74"/>
    </row>
    <row r="837" ht="12.75" customHeight="1">
      <c r="A837" s="74"/>
      <c r="B837" s="74"/>
      <c r="C837" s="74"/>
      <c r="D837" s="74"/>
    </row>
    <row r="838" ht="12.75" customHeight="1">
      <c r="A838" s="74"/>
      <c r="B838" s="74"/>
      <c r="C838" s="74"/>
      <c r="D838" s="74"/>
    </row>
    <row r="839" ht="12.75" customHeight="1">
      <c r="A839" s="74"/>
      <c r="B839" s="74"/>
      <c r="C839" s="74"/>
      <c r="D839" s="74"/>
    </row>
    <row r="840" ht="12.75" customHeight="1">
      <c r="A840" s="74"/>
      <c r="B840" s="74"/>
      <c r="C840" s="74"/>
      <c r="D840" s="74"/>
    </row>
    <row r="841" ht="12.75" customHeight="1">
      <c r="A841" s="74"/>
      <c r="B841" s="74"/>
      <c r="C841" s="74"/>
      <c r="D841" s="74"/>
    </row>
    <row r="842" ht="12.75" customHeight="1">
      <c r="A842" s="74"/>
      <c r="B842" s="74"/>
      <c r="C842" s="74"/>
      <c r="D842" s="74"/>
    </row>
    <row r="843" ht="12.75" customHeight="1">
      <c r="A843" s="74"/>
      <c r="B843" s="74"/>
      <c r="C843" s="74"/>
      <c r="D843" s="74"/>
    </row>
    <row r="844" ht="12.75" customHeight="1">
      <c r="A844" s="74"/>
      <c r="B844" s="74"/>
      <c r="C844" s="74"/>
      <c r="D844" s="74"/>
    </row>
    <row r="845" ht="12.75" customHeight="1">
      <c r="A845" s="74"/>
      <c r="B845" s="74"/>
      <c r="C845" s="74"/>
      <c r="D845" s="74"/>
    </row>
    <row r="846" ht="12.75" customHeight="1">
      <c r="A846" s="74"/>
      <c r="B846" s="74"/>
      <c r="C846" s="74"/>
      <c r="D846" s="74"/>
    </row>
    <row r="847" ht="12.75" customHeight="1">
      <c r="A847" s="74"/>
      <c r="B847" s="74"/>
      <c r="C847" s="74"/>
      <c r="D847" s="74"/>
    </row>
    <row r="848" ht="12.75" customHeight="1">
      <c r="A848" s="74"/>
      <c r="B848" s="74"/>
      <c r="C848" s="74"/>
      <c r="D848" s="74"/>
    </row>
    <row r="849" ht="12.75" customHeight="1">
      <c r="A849" s="74"/>
      <c r="B849" s="74"/>
      <c r="C849" s="74"/>
      <c r="D849" s="74"/>
    </row>
    <row r="850" ht="12.75" customHeight="1">
      <c r="A850" s="74"/>
      <c r="B850" s="74"/>
      <c r="C850" s="74"/>
      <c r="D850" s="74"/>
    </row>
    <row r="851" ht="12.75" customHeight="1">
      <c r="A851" s="74"/>
      <c r="B851" s="74"/>
      <c r="C851" s="74"/>
      <c r="D851" s="74"/>
    </row>
    <row r="852" ht="12.75" customHeight="1">
      <c r="A852" s="74"/>
      <c r="B852" s="74"/>
      <c r="C852" s="74"/>
      <c r="D852" s="74"/>
    </row>
    <row r="853" ht="12.75" customHeight="1">
      <c r="A853" s="74"/>
      <c r="B853" s="74"/>
      <c r="C853" s="74"/>
      <c r="D853" s="74"/>
    </row>
    <row r="854" ht="12.75" customHeight="1">
      <c r="A854" s="74"/>
      <c r="B854" s="74"/>
      <c r="C854" s="74"/>
      <c r="D854" s="74"/>
    </row>
    <row r="855" ht="12.75" customHeight="1">
      <c r="A855" s="74"/>
      <c r="B855" s="74"/>
      <c r="C855" s="74"/>
      <c r="D855" s="74"/>
    </row>
    <row r="856" ht="12.75" customHeight="1">
      <c r="A856" s="74"/>
      <c r="B856" s="74"/>
      <c r="C856" s="74"/>
      <c r="D856" s="74"/>
    </row>
    <row r="857" ht="12.75" customHeight="1">
      <c r="A857" s="74"/>
      <c r="B857" s="74"/>
      <c r="C857" s="74"/>
      <c r="D857" s="74"/>
    </row>
    <row r="858" ht="12.75" customHeight="1">
      <c r="A858" s="74"/>
      <c r="B858" s="74"/>
      <c r="C858" s="74"/>
      <c r="D858" s="74"/>
    </row>
    <row r="859" ht="12.75" customHeight="1">
      <c r="A859" s="74"/>
      <c r="B859" s="74"/>
      <c r="C859" s="74"/>
      <c r="D859" s="74"/>
    </row>
    <row r="860" ht="12.75" customHeight="1">
      <c r="A860" s="74"/>
      <c r="B860" s="74"/>
      <c r="C860" s="74"/>
      <c r="D860" s="74"/>
    </row>
    <row r="861" ht="12.75" customHeight="1">
      <c r="A861" s="74"/>
      <c r="B861" s="74"/>
      <c r="C861" s="74"/>
      <c r="D861" s="74"/>
    </row>
    <row r="862" ht="12.75" customHeight="1">
      <c r="A862" s="74"/>
      <c r="B862" s="74"/>
      <c r="C862" s="74"/>
      <c r="D862" s="74"/>
    </row>
    <row r="863" ht="12.75" customHeight="1">
      <c r="A863" s="74"/>
      <c r="B863" s="74"/>
      <c r="C863" s="74"/>
      <c r="D863" s="74"/>
    </row>
    <row r="864" ht="12.75" customHeight="1">
      <c r="A864" s="74"/>
      <c r="B864" s="74"/>
      <c r="C864" s="74"/>
      <c r="D864" s="74"/>
    </row>
    <row r="865" ht="12.75" customHeight="1">
      <c r="A865" s="74"/>
      <c r="B865" s="74"/>
      <c r="C865" s="74"/>
      <c r="D865" s="74"/>
    </row>
    <row r="866" ht="12.75" customHeight="1">
      <c r="A866" s="74"/>
      <c r="B866" s="74"/>
      <c r="C866" s="74"/>
      <c r="D866" s="74"/>
    </row>
    <row r="867" ht="12.75" customHeight="1">
      <c r="A867" s="74"/>
      <c r="B867" s="74"/>
      <c r="C867" s="74"/>
      <c r="D867" s="74"/>
    </row>
    <row r="868" ht="12.75" customHeight="1">
      <c r="A868" s="74"/>
      <c r="B868" s="74"/>
      <c r="C868" s="74"/>
      <c r="D868" s="74"/>
    </row>
    <row r="869" ht="12.75" customHeight="1">
      <c r="A869" s="74"/>
      <c r="B869" s="74"/>
      <c r="C869" s="74"/>
      <c r="D869" s="74"/>
    </row>
    <row r="870" ht="12.75" customHeight="1">
      <c r="A870" s="74"/>
      <c r="B870" s="74"/>
      <c r="C870" s="74"/>
      <c r="D870" s="74"/>
    </row>
    <row r="871" ht="12.75" customHeight="1">
      <c r="A871" s="74"/>
      <c r="B871" s="74"/>
      <c r="C871" s="74"/>
      <c r="D871" s="74"/>
    </row>
    <row r="872" ht="12.75" customHeight="1">
      <c r="A872" s="74"/>
      <c r="B872" s="74"/>
      <c r="C872" s="74"/>
      <c r="D872" s="74"/>
    </row>
    <row r="873" ht="12.75" customHeight="1">
      <c r="A873" s="74"/>
      <c r="B873" s="74"/>
      <c r="C873" s="74"/>
      <c r="D873" s="74"/>
    </row>
    <row r="874" ht="12.75" customHeight="1">
      <c r="A874" s="74"/>
      <c r="B874" s="74"/>
      <c r="C874" s="74"/>
      <c r="D874" s="74"/>
    </row>
    <row r="875" ht="12.75" customHeight="1">
      <c r="A875" s="74"/>
      <c r="B875" s="74"/>
      <c r="C875" s="74"/>
      <c r="D875" s="74"/>
    </row>
    <row r="876" ht="12.75" customHeight="1">
      <c r="A876" s="74"/>
      <c r="B876" s="74"/>
      <c r="C876" s="74"/>
      <c r="D876" s="74"/>
    </row>
    <row r="877" ht="12.75" customHeight="1">
      <c r="A877" s="74"/>
      <c r="B877" s="74"/>
      <c r="C877" s="74"/>
      <c r="D877" s="74"/>
    </row>
    <row r="878" ht="12.75" customHeight="1">
      <c r="A878" s="74"/>
      <c r="B878" s="74"/>
      <c r="C878" s="74"/>
      <c r="D878" s="74"/>
    </row>
    <row r="879" ht="12.75" customHeight="1">
      <c r="A879" s="74"/>
      <c r="B879" s="74"/>
      <c r="C879" s="74"/>
      <c r="D879" s="74"/>
    </row>
    <row r="880" ht="12.75" customHeight="1">
      <c r="A880" s="74"/>
      <c r="B880" s="74"/>
      <c r="C880" s="74"/>
      <c r="D880" s="74"/>
    </row>
    <row r="881" ht="12.75" customHeight="1">
      <c r="A881" s="74"/>
      <c r="B881" s="74"/>
      <c r="C881" s="74"/>
      <c r="D881" s="74"/>
    </row>
    <row r="882" ht="12.75" customHeight="1">
      <c r="A882" s="74"/>
      <c r="B882" s="74"/>
      <c r="C882" s="74"/>
      <c r="D882" s="74"/>
    </row>
    <row r="883" ht="12.75" customHeight="1">
      <c r="A883" s="74"/>
      <c r="B883" s="74"/>
      <c r="C883" s="74"/>
      <c r="D883" s="74"/>
    </row>
    <row r="884" ht="12.75" customHeight="1">
      <c r="A884" s="74"/>
      <c r="B884" s="74"/>
      <c r="C884" s="74"/>
      <c r="D884" s="74"/>
    </row>
    <row r="885" ht="12.75" customHeight="1">
      <c r="A885" s="74"/>
      <c r="B885" s="74"/>
      <c r="C885" s="74"/>
      <c r="D885" s="74"/>
    </row>
    <row r="886" ht="12.75" customHeight="1">
      <c r="A886" s="74"/>
      <c r="B886" s="74"/>
      <c r="C886" s="74"/>
      <c r="D886" s="74"/>
    </row>
    <row r="887" ht="12.75" customHeight="1">
      <c r="A887" s="74"/>
      <c r="B887" s="74"/>
      <c r="C887" s="74"/>
      <c r="D887" s="74"/>
    </row>
    <row r="888" ht="12.75" customHeight="1">
      <c r="A888" s="74"/>
      <c r="B888" s="74"/>
      <c r="C888" s="74"/>
      <c r="D888" s="74"/>
    </row>
    <row r="889" ht="12.75" customHeight="1">
      <c r="A889" s="74"/>
      <c r="B889" s="74"/>
      <c r="C889" s="74"/>
      <c r="D889" s="74"/>
    </row>
    <row r="890" ht="12.75" customHeight="1">
      <c r="A890" s="74"/>
      <c r="B890" s="74"/>
      <c r="C890" s="74"/>
      <c r="D890" s="74"/>
    </row>
    <row r="891" ht="12.75" customHeight="1">
      <c r="A891" s="74"/>
      <c r="B891" s="74"/>
      <c r="C891" s="74"/>
      <c r="D891" s="74"/>
    </row>
    <row r="892" ht="12.75" customHeight="1">
      <c r="A892" s="74"/>
      <c r="B892" s="74"/>
      <c r="C892" s="74"/>
      <c r="D892" s="74"/>
    </row>
    <row r="893" ht="12.75" customHeight="1">
      <c r="A893" s="74"/>
      <c r="B893" s="74"/>
      <c r="C893" s="74"/>
      <c r="D893" s="74"/>
    </row>
    <row r="894" ht="12.75" customHeight="1">
      <c r="A894" s="74"/>
      <c r="B894" s="74"/>
      <c r="C894" s="74"/>
      <c r="D894" s="74"/>
    </row>
    <row r="895" ht="12.75" customHeight="1">
      <c r="A895" s="74"/>
      <c r="B895" s="74"/>
      <c r="C895" s="74"/>
      <c r="D895" s="74"/>
    </row>
    <row r="896" ht="12.75" customHeight="1">
      <c r="A896" s="74"/>
      <c r="B896" s="74"/>
      <c r="C896" s="74"/>
      <c r="D896" s="74"/>
    </row>
    <row r="897" ht="12.75" customHeight="1">
      <c r="A897" s="74"/>
      <c r="B897" s="74"/>
      <c r="C897" s="74"/>
      <c r="D897" s="74"/>
    </row>
    <row r="898" ht="12.75" customHeight="1">
      <c r="A898" s="74"/>
      <c r="B898" s="74"/>
      <c r="C898" s="74"/>
      <c r="D898" s="74"/>
    </row>
    <row r="899" ht="12.75" customHeight="1">
      <c r="A899" s="74"/>
      <c r="B899" s="74"/>
      <c r="C899" s="74"/>
      <c r="D899" s="74"/>
    </row>
    <row r="900" ht="12.75" customHeight="1">
      <c r="A900" s="74"/>
      <c r="B900" s="74"/>
      <c r="C900" s="74"/>
      <c r="D900" s="74"/>
    </row>
    <row r="901" ht="12.75" customHeight="1">
      <c r="A901" s="74"/>
      <c r="B901" s="74"/>
      <c r="C901" s="74"/>
      <c r="D901" s="74"/>
    </row>
    <row r="902" ht="12.75" customHeight="1">
      <c r="A902" s="74"/>
      <c r="B902" s="74"/>
      <c r="C902" s="74"/>
      <c r="D902" s="74"/>
    </row>
    <row r="903" ht="12.75" customHeight="1">
      <c r="A903" s="74"/>
      <c r="B903" s="74"/>
      <c r="C903" s="74"/>
      <c r="D903" s="74"/>
    </row>
    <row r="904" ht="12.75" customHeight="1">
      <c r="A904" s="74"/>
      <c r="B904" s="74"/>
      <c r="C904" s="74"/>
      <c r="D904" s="74"/>
    </row>
    <row r="905" ht="12.75" customHeight="1">
      <c r="A905" s="74"/>
      <c r="B905" s="74"/>
      <c r="C905" s="74"/>
      <c r="D905" s="74"/>
    </row>
    <row r="906" ht="12.75" customHeight="1">
      <c r="A906" s="74"/>
      <c r="B906" s="74"/>
      <c r="C906" s="74"/>
      <c r="D906" s="74"/>
    </row>
    <row r="907" ht="12.75" customHeight="1">
      <c r="A907" s="74"/>
      <c r="B907" s="74"/>
      <c r="C907" s="74"/>
      <c r="D907" s="74"/>
    </row>
    <row r="908" ht="12.75" customHeight="1">
      <c r="A908" s="74"/>
      <c r="B908" s="74"/>
      <c r="C908" s="74"/>
      <c r="D908" s="74"/>
    </row>
    <row r="909" ht="12.75" customHeight="1">
      <c r="A909" s="74"/>
      <c r="B909" s="74"/>
      <c r="C909" s="74"/>
      <c r="D909" s="74"/>
    </row>
    <row r="910" ht="12.75" customHeight="1">
      <c r="A910" s="74"/>
      <c r="B910" s="74"/>
      <c r="C910" s="74"/>
      <c r="D910" s="74"/>
    </row>
    <row r="911" ht="12.75" customHeight="1">
      <c r="A911" s="74"/>
      <c r="B911" s="74"/>
      <c r="C911" s="74"/>
      <c r="D911" s="74"/>
    </row>
    <row r="912" ht="12.75" customHeight="1">
      <c r="A912" s="74"/>
      <c r="B912" s="74"/>
      <c r="C912" s="74"/>
      <c r="D912" s="74"/>
    </row>
    <row r="913" ht="12.75" customHeight="1">
      <c r="A913" s="74"/>
      <c r="B913" s="74"/>
      <c r="C913" s="74"/>
      <c r="D913" s="74"/>
    </row>
    <row r="914" ht="12.75" customHeight="1">
      <c r="A914" s="74"/>
      <c r="B914" s="74"/>
      <c r="C914" s="74"/>
      <c r="D914" s="74"/>
    </row>
    <row r="915" ht="12.75" customHeight="1">
      <c r="A915" s="74"/>
      <c r="B915" s="74"/>
      <c r="C915" s="74"/>
      <c r="D915" s="74"/>
    </row>
    <row r="916" ht="12.75" customHeight="1">
      <c r="A916" s="74"/>
      <c r="B916" s="74"/>
      <c r="C916" s="74"/>
      <c r="D916" s="74"/>
    </row>
    <row r="917" ht="12.75" customHeight="1">
      <c r="A917" s="74"/>
      <c r="B917" s="74"/>
      <c r="C917" s="74"/>
      <c r="D917" s="74"/>
    </row>
    <row r="918" ht="12.75" customHeight="1">
      <c r="A918" s="74"/>
      <c r="B918" s="74"/>
      <c r="C918" s="74"/>
      <c r="D918" s="74"/>
    </row>
    <row r="919" ht="12.75" customHeight="1">
      <c r="A919" s="74"/>
      <c r="B919" s="74"/>
      <c r="C919" s="74"/>
      <c r="D919" s="74"/>
    </row>
    <row r="920" ht="12.75" customHeight="1">
      <c r="A920" s="74"/>
      <c r="B920" s="74"/>
      <c r="C920" s="74"/>
      <c r="D920" s="74"/>
    </row>
    <row r="921" ht="12.75" customHeight="1">
      <c r="A921" s="74"/>
      <c r="B921" s="74"/>
      <c r="C921" s="74"/>
      <c r="D921" s="74"/>
    </row>
    <row r="922" ht="12.75" customHeight="1">
      <c r="A922" s="74"/>
      <c r="B922" s="74"/>
      <c r="C922" s="74"/>
      <c r="D922" s="74"/>
    </row>
    <row r="923" ht="12.75" customHeight="1">
      <c r="A923" s="74"/>
      <c r="B923" s="74"/>
      <c r="C923" s="74"/>
      <c r="D923" s="74"/>
    </row>
    <row r="924" ht="12.75" customHeight="1">
      <c r="A924" s="74"/>
      <c r="B924" s="74"/>
      <c r="C924" s="74"/>
      <c r="D924" s="74"/>
    </row>
    <row r="925" ht="12.75" customHeight="1">
      <c r="A925" s="74"/>
      <c r="B925" s="74"/>
      <c r="C925" s="74"/>
      <c r="D925" s="74"/>
    </row>
    <row r="926" ht="12.75" customHeight="1">
      <c r="A926" s="74"/>
      <c r="B926" s="74"/>
      <c r="C926" s="74"/>
      <c r="D926" s="74"/>
    </row>
    <row r="927" ht="12.75" customHeight="1">
      <c r="A927" s="74"/>
      <c r="B927" s="74"/>
      <c r="C927" s="74"/>
      <c r="D927" s="74"/>
    </row>
    <row r="928" ht="12.75" customHeight="1">
      <c r="A928" s="74"/>
      <c r="B928" s="74"/>
      <c r="C928" s="74"/>
      <c r="D928" s="74"/>
    </row>
    <row r="929" ht="12.75" customHeight="1">
      <c r="A929" s="74"/>
      <c r="B929" s="74"/>
      <c r="C929" s="74"/>
      <c r="D929" s="74"/>
    </row>
    <row r="930" ht="12.75" customHeight="1">
      <c r="A930" s="74"/>
      <c r="B930" s="74"/>
      <c r="C930" s="74"/>
      <c r="D930" s="74"/>
    </row>
    <row r="931" ht="12.75" customHeight="1">
      <c r="A931" s="74"/>
      <c r="B931" s="74"/>
      <c r="C931" s="74"/>
      <c r="D931" s="74"/>
    </row>
    <row r="932" ht="12.75" customHeight="1">
      <c r="A932" s="74"/>
      <c r="B932" s="74"/>
      <c r="C932" s="74"/>
      <c r="D932" s="74"/>
    </row>
    <row r="933" ht="12.75" customHeight="1">
      <c r="A933" s="74"/>
      <c r="B933" s="74"/>
      <c r="C933" s="74"/>
      <c r="D933" s="74"/>
    </row>
    <row r="934" ht="12.75" customHeight="1">
      <c r="A934" s="74"/>
      <c r="B934" s="74"/>
      <c r="C934" s="74"/>
      <c r="D934" s="74"/>
    </row>
    <row r="935" ht="12.75" customHeight="1">
      <c r="A935" s="74"/>
      <c r="B935" s="74"/>
      <c r="C935" s="74"/>
      <c r="D935" s="74"/>
    </row>
    <row r="936" ht="12.75" customHeight="1">
      <c r="A936" s="74"/>
      <c r="B936" s="74"/>
      <c r="C936" s="74"/>
      <c r="D936" s="74"/>
    </row>
    <row r="937" ht="12.75" customHeight="1">
      <c r="A937" s="74"/>
      <c r="B937" s="74"/>
      <c r="C937" s="74"/>
      <c r="D937" s="74"/>
    </row>
    <row r="938" ht="12.75" customHeight="1">
      <c r="A938" s="74"/>
      <c r="B938" s="74"/>
      <c r="C938" s="74"/>
      <c r="D938" s="74"/>
    </row>
    <row r="939" ht="12.75" customHeight="1">
      <c r="A939" s="74"/>
      <c r="B939" s="74"/>
      <c r="C939" s="74"/>
      <c r="D939" s="74"/>
    </row>
    <row r="940" ht="12.75" customHeight="1">
      <c r="A940" s="74"/>
      <c r="B940" s="74"/>
      <c r="C940" s="74"/>
      <c r="D940" s="74"/>
    </row>
    <row r="941" ht="12.75" customHeight="1">
      <c r="A941" s="74"/>
      <c r="B941" s="74"/>
      <c r="C941" s="74"/>
      <c r="D941" s="74"/>
    </row>
    <row r="942" ht="12.75" customHeight="1">
      <c r="A942" s="74"/>
      <c r="B942" s="74"/>
      <c r="C942" s="74"/>
      <c r="D942" s="74"/>
    </row>
    <row r="943" ht="12.75" customHeight="1">
      <c r="A943" s="74"/>
      <c r="B943" s="74"/>
      <c r="C943" s="74"/>
      <c r="D943" s="74"/>
    </row>
    <row r="944" ht="12.75" customHeight="1">
      <c r="A944" s="74"/>
      <c r="B944" s="74"/>
      <c r="C944" s="74"/>
      <c r="D944" s="74"/>
    </row>
    <row r="945" ht="12.75" customHeight="1">
      <c r="A945" s="74"/>
      <c r="B945" s="74"/>
      <c r="C945" s="74"/>
      <c r="D945" s="74"/>
    </row>
    <row r="946" ht="12.75" customHeight="1">
      <c r="A946" s="74"/>
      <c r="B946" s="74"/>
      <c r="C946" s="74"/>
      <c r="D946" s="74"/>
    </row>
    <row r="947" ht="12.75" customHeight="1">
      <c r="A947" s="74"/>
      <c r="B947" s="74"/>
      <c r="C947" s="74"/>
      <c r="D947" s="74"/>
    </row>
    <row r="948" ht="12.75" customHeight="1">
      <c r="A948" s="74"/>
      <c r="B948" s="74"/>
      <c r="C948" s="74"/>
      <c r="D948" s="74"/>
    </row>
    <row r="949" ht="12.75" customHeight="1">
      <c r="A949" s="74"/>
      <c r="B949" s="74"/>
      <c r="C949" s="74"/>
      <c r="D949" s="74"/>
    </row>
    <row r="950" ht="12.75" customHeight="1">
      <c r="A950" s="74"/>
      <c r="B950" s="74"/>
      <c r="C950" s="74"/>
      <c r="D950" s="74"/>
    </row>
    <row r="951" ht="12.75" customHeight="1">
      <c r="A951" s="74"/>
      <c r="B951" s="74"/>
      <c r="C951" s="74"/>
      <c r="D951" s="74"/>
    </row>
    <row r="952" ht="12.75" customHeight="1">
      <c r="A952" s="74"/>
      <c r="B952" s="74"/>
      <c r="C952" s="74"/>
      <c r="D952" s="74"/>
    </row>
    <row r="953" ht="12.75" customHeight="1">
      <c r="A953" s="74"/>
      <c r="B953" s="74"/>
      <c r="C953" s="74"/>
      <c r="D953" s="74"/>
    </row>
    <row r="954" ht="12.75" customHeight="1">
      <c r="A954" s="74"/>
      <c r="B954" s="74"/>
      <c r="C954" s="74"/>
      <c r="D954" s="74"/>
    </row>
    <row r="955" ht="12.75" customHeight="1">
      <c r="A955" s="74"/>
      <c r="B955" s="74"/>
      <c r="C955" s="74"/>
      <c r="D955" s="74"/>
    </row>
    <row r="956" ht="12.75" customHeight="1">
      <c r="A956" s="74"/>
      <c r="B956" s="74"/>
      <c r="C956" s="74"/>
      <c r="D956" s="74"/>
    </row>
    <row r="957" ht="12.75" customHeight="1">
      <c r="A957" s="74"/>
      <c r="B957" s="74"/>
      <c r="C957" s="74"/>
      <c r="D957" s="74"/>
    </row>
    <row r="958" ht="12.75" customHeight="1">
      <c r="A958" s="74"/>
      <c r="B958" s="74"/>
      <c r="C958" s="74"/>
      <c r="D958" s="74"/>
    </row>
    <row r="959" ht="12.75" customHeight="1">
      <c r="A959" s="74"/>
      <c r="B959" s="74"/>
      <c r="C959" s="74"/>
      <c r="D959" s="74"/>
    </row>
    <row r="960" ht="12.75" customHeight="1">
      <c r="A960" s="74"/>
      <c r="B960" s="74"/>
      <c r="C960" s="74"/>
      <c r="D960" s="74"/>
    </row>
    <row r="961" ht="12.75" customHeight="1">
      <c r="A961" s="74"/>
      <c r="B961" s="74"/>
      <c r="C961" s="74"/>
      <c r="D961" s="74"/>
    </row>
    <row r="962" ht="12.75" customHeight="1">
      <c r="A962" s="74"/>
      <c r="B962" s="74"/>
      <c r="C962" s="74"/>
      <c r="D962" s="74"/>
    </row>
    <row r="963" ht="12.75" customHeight="1">
      <c r="A963" s="74"/>
      <c r="B963" s="74"/>
      <c r="C963" s="74"/>
      <c r="D963" s="74"/>
    </row>
    <row r="964" ht="12.75" customHeight="1">
      <c r="A964" s="74"/>
      <c r="B964" s="74"/>
      <c r="C964" s="74"/>
      <c r="D964" s="74"/>
    </row>
    <row r="965" ht="12.75" customHeight="1">
      <c r="A965" s="74"/>
      <c r="B965" s="74"/>
      <c r="C965" s="74"/>
      <c r="D965" s="74"/>
    </row>
    <row r="966" ht="12.75" customHeight="1">
      <c r="A966" s="74"/>
      <c r="B966" s="74"/>
      <c r="C966" s="74"/>
      <c r="D966" s="74"/>
    </row>
    <row r="967" ht="12.75" customHeight="1">
      <c r="A967" s="74"/>
      <c r="B967" s="74"/>
      <c r="C967" s="74"/>
      <c r="D967" s="74"/>
    </row>
    <row r="968" ht="12.75" customHeight="1">
      <c r="A968" s="74"/>
      <c r="B968" s="74"/>
      <c r="C968" s="74"/>
      <c r="D968" s="74"/>
    </row>
    <row r="969" ht="12.75" customHeight="1">
      <c r="A969" s="74"/>
      <c r="B969" s="74"/>
      <c r="C969" s="74"/>
      <c r="D969" s="74"/>
    </row>
    <row r="970" ht="12.75" customHeight="1">
      <c r="A970" s="74"/>
      <c r="B970" s="74"/>
      <c r="C970" s="74"/>
      <c r="D970" s="74"/>
    </row>
    <row r="971" ht="12.75" customHeight="1">
      <c r="A971" s="74"/>
      <c r="B971" s="74"/>
      <c r="C971" s="74"/>
      <c r="D971" s="74"/>
    </row>
    <row r="972" ht="12.75" customHeight="1">
      <c r="A972" s="74"/>
      <c r="B972" s="74"/>
      <c r="C972" s="74"/>
      <c r="D972" s="74"/>
    </row>
    <row r="973" ht="12.75" customHeight="1">
      <c r="A973" s="74"/>
      <c r="B973" s="74"/>
      <c r="C973" s="74"/>
      <c r="D973" s="74"/>
    </row>
    <row r="974" ht="12.75" customHeight="1">
      <c r="A974" s="74"/>
      <c r="B974" s="74"/>
      <c r="C974" s="74"/>
      <c r="D974" s="74"/>
    </row>
    <row r="975" ht="12.75" customHeight="1">
      <c r="A975" s="74"/>
      <c r="B975" s="74"/>
      <c r="C975" s="74"/>
      <c r="D975" s="74"/>
    </row>
    <row r="976" ht="12.75" customHeight="1">
      <c r="A976" s="74"/>
      <c r="B976" s="74"/>
      <c r="C976" s="74"/>
      <c r="D976" s="74"/>
    </row>
    <row r="977" ht="12.75" customHeight="1">
      <c r="A977" s="74"/>
      <c r="B977" s="74"/>
      <c r="C977" s="74"/>
      <c r="D977" s="74"/>
    </row>
    <row r="978" ht="12.75" customHeight="1">
      <c r="A978" s="74"/>
      <c r="B978" s="74"/>
      <c r="C978" s="74"/>
      <c r="D978" s="74"/>
    </row>
    <row r="979" ht="12.75" customHeight="1">
      <c r="A979" s="74"/>
      <c r="B979" s="74"/>
      <c r="C979" s="74"/>
      <c r="D979" s="74"/>
    </row>
    <row r="980" ht="12.75" customHeight="1">
      <c r="A980" s="74"/>
      <c r="B980" s="74"/>
      <c r="C980" s="74"/>
      <c r="D980" s="74"/>
    </row>
    <row r="981" ht="12.75" customHeight="1">
      <c r="A981" s="74"/>
      <c r="B981" s="74"/>
      <c r="C981" s="74"/>
      <c r="D981" s="74"/>
    </row>
    <row r="982" ht="12.75" customHeight="1">
      <c r="A982" s="74"/>
      <c r="B982" s="74"/>
      <c r="C982" s="74"/>
      <c r="D982" s="74"/>
    </row>
    <row r="983" ht="12.75" customHeight="1">
      <c r="A983" s="74"/>
      <c r="B983" s="74"/>
      <c r="C983" s="74"/>
      <c r="D983" s="74"/>
    </row>
    <row r="984" ht="12.75" customHeight="1">
      <c r="A984" s="74"/>
      <c r="B984" s="74"/>
      <c r="C984" s="74"/>
      <c r="D984" s="74"/>
    </row>
    <row r="985" ht="12.75" customHeight="1">
      <c r="A985" s="74"/>
      <c r="B985" s="74"/>
      <c r="C985" s="74"/>
      <c r="D985" s="74"/>
    </row>
    <row r="986" ht="12.75" customHeight="1">
      <c r="A986" s="74"/>
      <c r="B986" s="74"/>
      <c r="C986" s="74"/>
      <c r="D986" s="74"/>
    </row>
    <row r="987" ht="12.75" customHeight="1">
      <c r="A987" s="74"/>
      <c r="B987" s="74"/>
      <c r="C987" s="74"/>
      <c r="D987" s="74"/>
    </row>
    <row r="988" ht="12.75" customHeight="1">
      <c r="A988" s="74"/>
      <c r="B988" s="74"/>
      <c r="C988" s="74"/>
      <c r="D988" s="74"/>
    </row>
    <row r="989" ht="12.75" customHeight="1">
      <c r="A989" s="74"/>
      <c r="B989" s="74"/>
      <c r="C989" s="74"/>
      <c r="D989" s="74"/>
    </row>
    <row r="990" ht="12.75" customHeight="1">
      <c r="A990" s="74"/>
      <c r="B990" s="74"/>
      <c r="C990" s="74"/>
      <c r="D990" s="74"/>
    </row>
    <row r="991" ht="12.75" customHeight="1">
      <c r="A991" s="74"/>
      <c r="B991" s="74"/>
      <c r="C991" s="74"/>
      <c r="D991" s="74"/>
    </row>
    <row r="992" ht="12.75" customHeight="1">
      <c r="A992" s="74"/>
      <c r="B992" s="74"/>
      <c r="C992" s="74"/>
      <c r="D992" s="74"/>
    </row>
    <row r="993" ht="12.75" customHeight="1">
      <c r="A993" s="74"/>
      <c r="B993" s="74"/>
      <c r="C993" s="74"/>
      <c r="D993" s="74"/>
    </row>
    <row r="994" ht="12.75" customHeight="1">
      <c r="A994" s="74"/>
      <c r="B994" s="74"/>
      <c r="C994" s="74"/>
      <c r="D994" s="74"/>
    </row>
    <row r="995" ht="12.75" customHeight="1">
      <c r="A995" s="74"/>
      <c r="B995" s="74"/>
      <c r="C995" s="74"/>
      <c r="D995" s="74"/>
    </row>
    <row r="996" ht="12.75" customHeight="1">
      <c r="A996" s="74"/>
      <c r="B996" s="74"/>
      <c r="C996" s="74"/>
      <c r="D996" s="74"/>
    </row>
    <row r="997" ht="12.75" customHeight="1">
      <c r="A997" s="74"/>
      <c r="B997" s="74"/>
      <c r="C997" s="74"/>
      <c r="D997" s="74"/>
    </row>
    <row r="998" ht="12.75" customHeight="1">
      <c r="A998" s="74"/>
      <c r="B998" s="74"/>
      <c r="C998" s="74"/>
      <c r="D998" s="74"/>
    </row>
    <row r="999" ht="12.75" customHeight="1">
      <c r="A999" s="74"/>
      <c r="B999" s="74"/>
      <c r="C999" s="74"/>
      <c r="D999" s="74"/>
    </row>
    <row r="1000" ht="12.75" customHeight="1">
      <c r="A1000" s="74"/>
      <c r="B1000" s="74"/>
      <c r="C1000" s="74"/>
      <c r="D1000" s="74"/>
    </row>
  </sheetData>
  <mergeCells count="6">
    <mergeCell ref="B1:D1"/>
    <mergeCell ref="B4:B9"/>
    <mergeCell ref="B10:B15"/>
    <mergeCell ref="B16:B22"/>
    <mergeCell ref="B23:B28"/>
    <mergeCell ref="B29:B3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8.0"/>
    <col customWidth="1" min="3" max="3" width="50.63"/>
    <col customWidth="1" min="4" max="5" width="23.13"/>
    <col customWidth="1" min="6" max="24" width="15.13"/>
  </cols>
  <sheetData>
    <row r="1" ht="15.75" customHeight="1">
      <c r="A1" s="249" t="s">
        <v>564</v>
      </c>
      <c r="D1" s="1"/>
      <c r="E1" s="1"/>
    </row>
    <row r="2" ht="15.75" customHeight="1">
      <c r="A2" s="179"/>
      <c r="B2" s="1"/>
      <c r="C2" s="1181" t="s">
        <v>553</v>
      </c>
      <c r="D2" s="1203" t="s">
        <v>565</v>
      </c>
      <c r="E2" s="1076"/>
    </row>
    <row r="3" ht="15.75" customHeight="1">
      <c r="A3" s="179"/>
      <c r="B3" s="179"/>
      <c r="C3" s="1182" t="s">
        <v>554</v>
      </c>
      <c r="D3" s="179" t="s">
        <v>566</v>
      </c>
      <c r="E3" s="1"/>
    </row>
    <row r="4" ht="15.75" customHeight="1">
      <c r="A4" s="188" t="s">
        <v>74</v>
      </c>
      <c r="B4" s="1183" t="s">
        <v>415</v>
      </c>
      <c r="C4" s="1204" t="s">
        <v>567</v>
      </c>
      <c r="D4" s="1205" t="s">
        <v>568</v>
      </c>
      <c r="E4" s="1"/>
    </row>
    <row r="5" ht="15.75" customHeight="1">
      <c r="A5" s="59"/>
      <c r="B5" s="1189" t="s">
        <v>81</v>
      </c>
      <c r="C5" s="1206"/>
      <c r="D5" s="179" t="s">
        <v>569</v>
      </c>
      <c r="E5" s="1"/>
    </row>
    <row r="6" ht="15.75" customHeight="1">
      <c r="A6" s="59"/>
      <c r="B6" s="1189" t="s">
        <v>83</v>
      </c>
      <c r="C6" s="1206"/>
      <c r="D6" s="1205" t="s">
        <v>570</v>
      </c>
      <c r="E6" s="1"/>
    </row>
    <row r="7" ht="15.75" customHeight="1">
      <c r="A7" s="59"/>
      <c r="B7" s="1189" t="s">
        <v>87</v>
      </c>
      <c r="C7" s="1206"/>
      <c r="D7" s="179" t="s">
        <v>571</v>
      </c>
      <c r="E7" s="1"/>
    </row>
    <row r="8" ht="6.0" customHeight="1">
      <c r="A8" s="59"/>
      <c r="B8" s="1207" t="s">
        <v>92</v>
      </c>
      <c r="C8" s="1208"/>
      <c r="D8" s="179" t="s">
        <v>572</v>
      </c>
      <c r="E8" s="1"/>
    </row>
    <row r="9" ht="7.5" customHeight="1">
      <c r="A9" s="59"/>
      <c r="B9" s="679"/>
      <c r="C9" s="679"/>
      <c r="E9" s="1"/>
    </row>
    <row r="10" ht="15.75" customHeight="1">
      <c r="A10" s="211"/>
      <c r="B10" s="1194" t="s">
        <v>93</v>
      </c>
      <c r="C10" s="1209" t="s">
        <v>182</v>
      </c>
      <c r="D10" s="179" t="s">
        <v>573</v>
      </c>
      <c r="E10" s="1"/>
    </row>
    <row r="11" ht="15.75" customHeight="1">
      <c r="A11" s="188" t="s">
        <v>95</v>
      </c>
      <c r="B11" s="1183" t="s">
        <v>415</v>
      </c>
      <c r="C11" s="1210" t="s">
        <v>574</v>
      </c>
      <c r="D11" s="179" t="s">
        <v>575</v>
      </c>
      <c r="E11" s="1"/>
    </row>
    <row r="12" ht="15.75" customHeight="1">
      <c r="A12" s="59"/>
      <c r="B12" s="1211" t="s">
        <v>81</v>
      </c>
      <c r="C12" s="1212"/>
      <c r="D12" s="179" t="s">
        <v>576</v>
      </c>
      <c r="E12" s="1"/>
    </row>
    <row r="13" ht="15.75" customHeight="1">
      <c r="A13" s="59"/>
      <c r="B13" s="1189" t="s">
        <v>83</v>
      </c>
      <c r="C13" s="1212"/>
      <c r="D13" s="1205" t="s">
        <v>577</v>
      </c>
      <c r="E13" s="1"/>
    </row>
    <row r="14" ht="15.75" customHeight="1">
      <c r="A14" s="59"/>
      <c r="B14" s="1189" t="s">
        <v>87</v>
      </c>
      <c r="C14" s="1212"/>
      <c r="D14" s="179" t="s">
        <v>578</v>
      </c>
      <c r="E14" s="1"/>
    </row>
    <row r="15" ht="15.75" customHeight="1">
      <c r="A15" s="59"/>
      <c r="B15" s="1189" t="s">
        <v>92</v>
      </c>
      <c r="C15" s="16"/>
      <c r="D15" s="179" t="s">
        <v>579</v>
      </c>
      <c r="E15" s="1"/>
    </row>
    <row r="16" ht="15.75" customHeight="1">
      <c r="A16" s="211"/>
      <c r="B16" s="1194" t="s">
        <v>93</v>
      </c>
      <c r="C16" s="1213" t="s">
        <v>580</v>
      </c>
      <c r="D16" s="1205"/>
    </row>
    <row r="17" ht="15.75" customHeight="1">
      <c r="A17" s="188" t="s">
        <v>110</v>
      </c>
      <c r="B17" s="1183" t="s">
        <v>415</v>
      </c>
      <c r="C17" s="1214" t="s">
        <v>581</v>
      </c>
      <c r="D17" s="179"/>
      <c r="E17" s="1"/>
    </row>
    <row r="18" ht="10.5" customHeight="1">
      <c r="A18" s="59"/>
      <c r="B18" s="1207" t="s">
        <v>81</v>
      </c>
      <c r="C18" s="679"/>
      <c r="D18" s="1"/>
      <c r="E18" s="1"/>
    </row>
    <row r="19" ht="11.25" customHeight="1">
      <c r="A19" s="59"/>
      <c r="B19" s="679"/>
      <c r="C19" s="40"/>
      <c r="D19" s="1"/>
      <c r="E19" s="1"/>
    </row>
    <row r="20" ht="12.75" customHeight="1">
      <c r="A20" s="59"/>
      <c r="B20" s="1189" t="s">
        <v>83</v>
      </c>
      <c r="C20" s="46"/>
      <c r="D20" s="1215" t="s">
        <v>582</v>
      </c>
    </row>
    <row r="21" ht="15.75" customHeight="1">
      <c r="A21" s="59"/>
      <c r="B21" s="1189" t="s">
        <v>87</v>
      </c>
      <c r="C21" s="1216" t="s">
        <v>583</v>
      </c>
    </row>
    <row r="22" ht="13.5" customHeight="1">
      <c r="A22" s="59"/>
      <c r="B22" s="1189" t="s">
        <v>92</v>
      </c>
      <c r="C22" s="1217" t="s">
        <v>584</v>
      </c>
    </row>
    <row r="23" ht="15.75" customHeight="1">
      <c r="A23" s="211"/>
      <c r="B23" s="1194" t="s">
        <v>93</v>
      </c>
      <c r="C23" s="1218" t="s">
        <v>585</v>
      </c>
    </row>
    <row r="24" ht="13.5" customHeight="1">
      <c r="A24" s="188" t="s">
        <v>114</v>
      </c>
      <c r="B24" s="1219" t="s">
        <v>415</v>
      </c>
      <c r="C24" s="1220"/>
      <c r="D24" s="1"/>
      <c r="E24" s="1"/>
    </row>
    <row r="25" ht="15.75" customHeight="1">
      <c r="A25" s="59"/>
      <c r="B25" s="1221" t="s">
        <v>81</v>
      </c>
      <c r="C25" s="796"/>
      <c r="D25" s="1222"/>
      <c r="E25" s="1"/>
    </row>
    <row r="26" ht="15.75" customHeight="1">
      <c r="A26" s="59"/>
      <c r="B26" s="1211" t="s">
        <v>83</v>
      </c>
      <c r="C26" s="796"/>
      <c r="D26" s="1"/>
      <c r="E26" s="1"/>
    </row>
    <row r="27" ht="15.75" customHeight="1">
      <c r="A27" s="59"/>
      <c r="B27" s="1211" t="s">
        <v>87</v>
      </c>
      <c r="C27" s="796"/>
      <c r="D27" s="1"/>
      <c r="E27" s="1"/>
    </row>
    <row r="28" ht="15.75" customHeight="1">
      <c r="A28" s="59"/>
      <c r="B28" s="1211" t="s">
        <v>92</v>
      </c>
      <c r="C28" s="796"/>
      <c r="D28" s="1"/>
      <c r="E28" s="1"/>
    </row>
    <row r="29" ht="15.75" customHeight="1">
      <c r="A29" s="211"/>
      <c r="B29" s="1223" t="s">
        <v>93</v>
      </c>
      <c r="C29" s="1224"/>
      <c r="D29" s="1225"/>
      <c r="E29" s="1225"/>
    </row>
    <row r="30" ht="15.75" customHeight="1">
      <c r="A30" s="188" t="s">
        <v>125</v>
      </c>
      <c r="B30" s="1183" t="s">
        <v>415</v>
      </c>
      <c r="C30" s="1226" t="s">
        <v>586</v>
      </c>
      <c r="D30" s="1"/>
      <c r="E30" s="1"/>
    </row>
    <row r="31" ht="15.75" customHeight="1">
      <c r="A31" s="59"/>
      <c r="B31" s="1189" t="s">
        <v>81</v>
      </c>
      <c r="C31" s="1217" t="s">
        <v>587</v>
      </c>
      <c r="D31" s="1"/>
      <c r="E31" s="1"/>
    </row>
    <row r="32" ht="15.75" customHeight="1">
      <c r="A32" s="59"/>
      <c r="B32" s="1189" t="s">
        <v>83</v>
      </c>
      <c r="C32" s="40"/>
      <c r="D32" s="235"/>
      <c r="E32" s="235"/>
    </row>
    <row r="33" ht="15.75" customHeight="1">
      <c r="A33" s="59"/>
      <c r="B33" s="1189" t="s">
        <v>87</v>
      </c>
      <c r="C33" s="40"/>
      <c r="D33" s="1"/>
      <c r="E33" s="1"/>
    </row>
    <row r="34" ht="15.75" customHeight="1">
      <c r="A34" s="59"/>
      <c r="B34" s="1189" t="s">
        <v>92</v>
      </c>
      <c r="C34" s="40"/>
      <c r="D34" s="622"/>
      <c r="E34" s="1"/>
    </row>
    <row r="35" ht="15.75" customHeight="1">
      <c r="A35" s="59"/>
      <c r="B35" s="1189" t="s">
        <v>93</v>
      </c>
      <c r="C35" s="1227" t="s">
        <v>588</v>
      </c>
      <c r="E35" s="1"/>
    </row>
    <row r="36" ht="15.75" customHeight="1">
      <c r="A36" s="211"/>
      <c r="B36" s="1228" t="s">
        <v>94</v>
      </c>
      <c r="C36" s="1224"/>
      <c r="D36" s="622"/>
      <c r="E36" s="1"/>
    </row>
    <row r="37" ht="15.75" customHeight="1">
      <c r="A37" s="1"/>
      <c r="B37" s="1201"/>
      <c r="C37" s="1202" t="s">
        <v>563</v>
      </c>
      <c r="D37" s="1201"/>
      <c r="E37" s="1202"/>
    </row>
    <row r="38" ht="15.75" customHeight="1">
      <c r="A38" s="1"/>
      <c r="B38" s="1229">
        <f>'1r'!C44</f>
        <v>45940</v>
      </c>
      <c r="C38" s="1"/>
      <c r="D38" s="1"/>
      <c r="E38" s="1"/>
    </row>
    <row r="39" ht="12.75" customHeight="1">
      <c r="A39" s="1"/>
      <c r="B39" s="1230"/>
      <c r="C39" s="76"/>
      <c r="D39" s="1"/>
      <c r="E39" s="1"/>
    </row>
    <row r="40" ht="12.75" customHeight="1">
      <c r="A40" s="1"/>
      <c r="B40" s="1230"/>
      <c r="C40" s="76"/>
      <c r="D40" s="1"/>
      <c r="E40" s="1"/>
    </row>
    <row r="41" ht="12.75" customHeight="1">
      <c r="A41" s="1"/>
      <c r="B41" s="1"/>
      <c r="D41" s="1"/>
      <c r="E41" s="1"/>
    </row>
    <row r="42">
      <c r="A42" s="1"/>
      <c r="D42" s="1"/>
      <c r="E42" s="1"/>
    </row>
    <row r="43">
      <c r="A43" s="74"/>
      <c r="B43" s="74"/>
      <c r="C43" s="74"/>
      <c r="D43" s="74"/>
      <c r="E43" s="74"/>
    </row>
    <row r="44">
      <c r="A44" s="74"/>
      <c r="B44" s="74"/>
      <c r="C44" s="74"/>
      <c r="D44" s="74"/>
      <c r="E44" s="74"/>
    </row>
    <row r="45">
      <c r="A45" s="74"/>
      <c r="B45" s="74"/>
      <c r="C45" s="74"/>
      <c r="D45" s="74"/>
      <c r="E45" s="74"/>
    </row>
    <row r="46">
      <c r="A46" s="74"/>
      <c r="B46" s="74"/>
      <c r="C46" s="74"/>
      <c r="D46" s="74"/>
      <c r="E46" s="74"/>
    </row>
    <row r="47">
      <c r="A47" s="74"/>
      <c r="B47" s="74"/>
      <c r="C47" s="74"/>
      <c r="D47" s="74"/>
      <c r="E47" s="74"/>
    </row>
    <row r="48">
      <c r="A48" s="74"/>
      <c r="B48" s="74"/>
      <c r="C48" s="74"/>
      <c r="D48" s="74"/>
      <c r="E48" s="74"/>
    </row>
    <row r="49">
      <c r="A49" s="74"/>
      <c r="B49" s="74"/>
      <c r="C49" s="74"/>
      <c r="D49" s="74"/>
      <c r="E49" s="74"/>
    </row>
    <row r="50">
      <c r="A50" s="74"/>
      <c r="B50" s="74"/>
      <c r="C50" s="74"/>
      <c r="D50" s="74"/>
      <c r="E50" s="74"/>
    </row>
    <row r="51">
      <c r="A51" s="74"/>
      <c r="B51" s="74"/>
      <c r="C51" s="74"/>
      <c r="D51" s="74"/>
      <c r="E51" s="74"/>
    </row>
    <row r="52">
      <c r="A52" s="74"/>
      <c r="B52" s="74"/>
      <c r="C52" s="74"/>
      <c r="D52" s="74"/>
      <c r="E52" s="74"/>
    </row>
    <row r="53">
      <c r="A53" s="74"/>
      <c r="B53" s="74"/>
      <c r="C53" s="74"/>
      <c r="D53" s="74"/>
      <c r="E53" s="74"/>
    </row>
    <row r="54">
      <c r="A54" s="74"/>
      <c r="B54" s="74"/>
      <c r="C54" s="74"/>
      <c r="D54" s="74"/>
      <c r="E54" s="74"/>
    </row>
    <row r="55">
      <c r="A55" s="74"/>
      <c r="B55" s="74"/>
      <c r="C55" s="74"/>
      <c r="D55" s="74"/>
      <c r="E55" s="74"/>
    </row>
    <row r="56">
      <c r="A56" s="74"/>
      <c r="B56" s="74"/>
      <c r="C56" s="74"/>
      <c r="D56" s="74"/>
      <c r="E56" s="74"/>
    </row>
    <row r="57">
      <c r="A57" s="74"/>
      <c r="B57" s="74"/>
      <c r="C57" s="74"/>
      <c r="D57" s="74"/>
      <c r="E57" s="74"/>
    </row>
    <row r="58">
      <c r="A58" s="74"/>
      <c r="B58" s="74"/>
      <c r="C58" s="74"/>
      <c r="D58" s="74"/>
      <c r="E58" s="74"/>
    </row>
    <row r="59">
      <c r="A59" s="74"/>
      <c r="B59" s="74"/>
      <c r="C59" s="74"/>
      <c r="D59" s="74"/>
      <c r="E59" s="74"/>
    </row>
    <row r="60">
      <c r="A60" s="74"/>
      <c r="B60" s="74"/>
      <c r="C60" s="74"/>
      <c r="D60" s="74"/>
      <c r="E60" s="74"/>
    </row>
    <row r="61">
      <c r="A61" s="74"/>
      <c r="B61" s="74"/>
      <c r="C61" s="74"/>
      <c r="D61" s="74"/>
      <c r="E61" s="74"/>
    </row>
    <row r="62">
      <c r="A62" s="74"/>
      <c r="B62" s="74"/>
      <c r="C62" s="74"/>
      <c r="D62" s="74"/>
      <c r="E62" s="74"/>
    </row>
    <row r="63">
      <c r="A63" s="74"/>
      <c r="B63" s="74"/>
      <c r="C63" s="74"/>
      <c r="D63" s="74"/>
      <c r="E63" s="74"/>
    </row>
    <row r="64">
      <c r="A64" s="74"/>
      <c r="B64" s="74"/>
      <c r="C64" s="74"/>
      <c r="D64" s="74"/>
      <c r="E64" s="74"/>
    </row>
    <row r="65">
      <c r="A65" s="74"/>
      <c r="B65" s="74"/>
      <c r="C65" s="74"/>
      <c r="D65" s="74"/>
      <c r="E65" s="74"/>
    </row>
    <row r="66">
      <c r="A66" s="74"/>
      <c r="B66" s="74"/>
      <c r="C66" s="74"/>
      <c r="D66" s="74"/>
      <c r="E66" s="74"/>
    </row>
    <row r="67">
      <c r="A67" s="74"/>
      <c r="B67" s="74"/>
      <c r="C67" s="74"/>
      <c r="D67" s="74"/>
      <c r="E67" s="74"/>
    </row>
    <row r="68">
      <c r="A68" s="74"/>
      <c r="B68" s="74"/>
      <c r="C68" s="74"/>
      <c r="D68" s="74"/>
      <c r="E68" s="74"/>
    </row>
    <row r="69">
      <c r="A69" s="74"/>
      <c r="B69" s="74"/>
      <c r="C69" s="74"/>
      <c r="D69" s="74"/>
      <c r="E69" s="74"/>
    </row>
    <row r="70">
      <c r="A70" s="74"/>
      <c r="B70" s="74"/>
      <c r="C70" s="74"/>
      <c r="D70" s="74"/>
      <c r="E70" s="74"/>
    </row>
    <row r="71">
      <c r="A71" s="74"/>
      <c r="B71" s="74"/>
      <c r="C71" s="74"/>
      <c r="D71" s="74"/>
      <c r="E71" s="74"/>
    </row>
    <row r="72">
      <c r="A72" s="74"/>
      <c r="B72" s="74"/>
      <c r="C72" s="74"/>
      <c r="D72" s="74"/>
      <c r="E72" s="74"/>
    </row>
    <row r="73">
      <c r="A73" s="74"/>
      <c r="B73" s="74"/>
      <c r="C73" s="74"/>
      <c r="D73" s="74"/>
      <c r="E73" s="74"/>
    </row>
    <row r="74">
      <c r="A74" s="74"/>
      <c r="B74" s="74"/>
      <c r="C74" s="74"/>
      <c r="D74" s="74"/>
      <c r="E74" s="74"/>
    </row>
    <row r="75">
      <c r="A75" s="74"/>
      <c r="B75" s="74"/>
      <c r="C75" s="74"/>
      <c r="D75" s="74"/>
      <c r="E75" s="74"/>
    </row>
    <row r="76">
      <c r="A76" s="74"/>
      <c r="B76" s="74"/>
      <c r="C76" s="74"/>
      <c r="D76" s="74"/>
      <c r="E76" s="74"/>
    </row>
    <row r="77">
      <c r="A77" s="74"/>
      <c r="B77" s="74"/>
      <c r="C77" s="74"/>
      <c r="D77" s="74"/>
      <c r="E77" s="74"/>
    </row>
    <row r="78">
      <c r="A78" s="74"/>
      <c r="B78" s="74"/>
      <c r="C78" s="74"/>
      <c r="D78" s="74"/>
      <c r="E78" s="74"/>
    </row>
    <row r="79">
      <c r="A79" s="74"/>
      <c r="B79" s="74"/>
      <c r="C79" s="74"/>
      <c r="D79" s="74"/>
      <c r="E79" s="74"/>
    </row>
    <row r="80">
      <c r="A80" s="74"/>
      <c r="B80" s="74"/>
      <c r="C80" s="74"/>
      <c r="D80" s="74"/>
      <c r="E80" s="74"/>
    </row>
    <row r="81">
      <c r="A81" s="74"/>
      <c r="B81" s="74"/>
      <c r="C81" s="74"/>
      <c r="D81" s="74"/>
      <c r="E81" s="74"/>
    </row>
    <row r="82">
      <c r="A82" s="74"/>
      <c r="B82" s="74"/>
      <c r="C82" s="74"/>
      <c r="D82" s="74"/>
      <c r="E82" s="74"/>
    </row>
    <row r="83">
      <c r="A83" s="74"/>
      <c r="B83" s="74"/>
      <c r="C83" s="74"/>
      <c r="D83" s="74"/>
      <c r="E83" s="74"/>
    </row>
    <row r="84">
      <c r="A84" s="74"/>
      <c r="B84" s="74"/>
      <c r="C84" s="74"/>
      <c r="D84" s="74"/>
      <c r="E84" s="74"/>
    </row>
    <row r="85">
      <c r="A85" s="74"/>
      <c r="B85" s="74"/>
      <c r="C85" s="74"/>
      <c r="D85" s="74"/>
      <c r="E85" s="74"/>
    </row>
    <row r="86">
      <c r="A86" s="74"/>
      <c r="B86" s="74"/>
      <c r="C86" s="74"/>
      <c r="D86" s="74"/>
      <c r="E86" s="74"/>
    </row>
    <row r="87">
      <c r="A87" s="74"/>
      <c r="B87" s="74"/>
      <c r="C87" s="74"/>
      <c r="D87" s="74"/>
      <c r="E87" s="74"/>
    </row>
    <row r="88">
      <c r="A88" s="74"/>
      <c r="B88" s="74"/>
      <c r="C88" s="74"/>
      <c r="D88" s="74"/>
      <c r="E88" s="74"/>
    </row>
    <row r="89">
      <c r="A89" s="74"/>
      <c r="B89" s="74"/>
      <c r="C89" s="74"/>
      <c r="D89" s="74"/>
      <c r="E89" s="74"/>
    </row>
    <row r="90">
      <c r="A90" s="74"/>
      <c r="B90" s="74"/>
      <c r="C90" s="74"/>
      <c r="D90" s="74"/>
      <c r="E90" s="74"/>
    </row>
    <row r="91">
      <c r="A91" s="74"/>
      <c r="B91" s="74"/>
      <c r="C91" s="74"/>
      <c r="D91" s="74"/>
      <c r="E91" s="74"/>
    </row>
    <row r="92">
      <c r="A92" s="74"/>
      <c r="B92" s="74"/>
      <c r="C92" s="74"/>
      <c r="D92" s="74"/>
      <c r="E92" s="74"/>
    </row>
    <row r="93">
      <c r="A93" s="74"/>
      <c r="B93" s="74"/>
      <c r="C93" s="74"/>
      <c r="D93" s="74"/>
      <c r="E93" s="74"/>
    </row>
    <row r="94">
      <c r="A94" s="74"/>
      <c r="B94" s="74"/>
      <c r="C94" s="74"/>
      <c r="D94" s="74"/>
      <c r="E94" s="74"/>
    </row>
    <row r="95">
      <c r="A95" s="74"/>
      <c r="B95" s="74"/>
      <c r="C95" s="74"/>
      <c r="D95" s="74"/>
      <c r="E95" s="74"/>
    </row>
    <row r="96">
      <c r="A96" s="74"/>
      <c r="B96" s="74"/>
      <c r="C96" s="74"/>
      <c r="D96" s="74"/>
      <c r="E96" s="74"/>
    </row>
    <row r="97">
      <c r="A97" s="74"/>
      <c r="B97" s="74"/>
      <c r="C97" s="74"/>
      <c r="D97" s="74"/>
      <c r="E97" s="74"/>
    </row>
    <row r="98">
      <c r="A98" s="74"/>
      <c r="B98" s="74"/>
      <c r="C98" s="74"/>
      <c r="D98" s="74"/>
      <c r="E98" s="74"/>
    </row>
    <row r="99">
      <c r="A99" s="74"/>
      <c r="B99" s="74"/>
      <c r="C99" s="74"/>
      <c r="D99" s="74"/>
      <c r="E99" s="74"/>
    </row>
    <row r="100">
      <c r="A100" s="74"/>
      <c r="B100" s="74"/>
      <c r="C100" s="74"/>
      <c r="D100" s="74"/>
      <c r="E100" s="74"/>
    </row>
    <row r="101">
      <c r="A101" s="74"/>
      <c r="B101" s="74"/>
      <c r="C101" s="74"/>
      <c r="D101" s="74"/>
      <c r="E101" s="74"/>
    </row>
    <row r="102">
      <c r="A102" s="74"/>
      <c r="B102" s="74"/>
      <c r="C102" s="74"/>
      <c r="D102" s="74"/>
      <c r="E102" s="74"/>
    </row>
    <row r="103">
      <c r="A103" s="74"/>
      <c r="B103" s="74"/>
      <c r="C103" s="74"/>
      <c r="D103" s="74"/>
      <c r="E103" s="74"/>
    </row>
    <row r="104">
      <c r="A104" s="74"/>
      <c r="B104" s="74"/>
      <c r="C104" s="74"/>
      <c r="D104" s="74"/>
      <c r="E104" s="74"/>
    </row>
    <row r="105">
      <c r="A105" s="74"/>
      <c r="B105" s="74"/>
      <c r="C105" s="74"/>
      <c r="D105" s="74"/>
      <c r="E105" s="74"/>
    </row>
    <row r="106">
      <c r="A106" s="74"/>
      <c r="B106" s="74"/>
      <c r="C106" s="74"/>
      <c r="D106" s="74"/>
      <c r="E106" s="74"/>
    </row>
    <row r="107">
      <c r="A107" s="74"/>
      <c r="B107" s="74"/>
      <c r="C107" s="74"/>
      <c r="D107" s="74"/>
      <c r="E107" s="74"/>
    </row>
    <row r="108">
      <c r="A108" s="74"/>
      <c r="B108" s="74"/>
      <c r="C108" s="74"/>
      <c r="D108" s="74"/>
      <c r="E108" s="74"/>
    </row>
    <row r="109">
      <c r="A109" s="74"/>
      <c r="B109" s="74"/>
      <c r="C109" s="74"/>
      <c r="D109" s="74"/>
      <c r="E109" s="74"/>
    </row>
    <row r="110">
      <c r="A110" s="74"/>
      <c r="B110" s="74"/>
      <c r="C110" s="74"/>
      <c r="D110" s="74"/>
      <c r="E110" s="74"/>
    </row>
    <row r="111">
      <c r="A111" s="74"/>
      <c r="B111" s="74"/>
      <c r="C111" s="74"/>
      <c r="D111" s="74"/>
      <c r="E111" s="74"/>
    </row>
    <row r="112">
      <c r="A112" s="74"/>
      <c r="B112" s="74"/>
      <c r="C112" s="74"/>
      <c r="D112" s="74"/>
      <c r="E112" s="74"/>
    </row>
    <row r="113">
      <c r="A113" s="74"/>
      <c r="B113" s="74"/>
      <c r="C113" s="74"/>
      <c r="D113" s="74"/>
      <c r="E113" s="74"/>
    </row>
    <row r="114">
      <c r="A114" s="74"/>
      <c r="B114" s="74"/>
      <c r="C114" s="74"/>
      <c r="D114" s="74"/>
      <c r="E114" s="74"/>
    </row>
    <row r="115">
      <c r="A115" s="74"/>
      <c r="B115" s="74"/>
      <c r="C115" s="74"/>
      <c r="D115" s="74"/>
      <c r="E115" s="74"/>
    </row>
    <row r="116">
      <c r="A116" s="74"/>
      <c r="B116" s="74"/>
      <c r="C116" s="74"/>
      <c r="D116" s="74"/>
      <c r="E116" s="74"/>
    </row>
    <row r="117">
      <c r="A117" s="74"/>
      <c r="B117" s="74"/>
      <c r="C117" s="74"/>
      <c r="D117" s="74"/>
      <c r="E117" s="74"/>
    </row>
    <row r="118">
      <c r="A118" s="74"/>
      <c r="B118" s="74"/>
      <c r="C118" s="74"/>
      <c r="D118" s="74"/>
      <c r="E118" s="74"/>
    </row>
    <row r="119">
      <c r="A119" s="74"/>
      <c r="B119" s="74"/>
      <c r="C119" s="74"/>
      <c r="D119" s="74"/>
      <c r="E119" s="74"/>
    </row>
    <row r="120">
      <c r="A120" s="74"/>
      <c r="B120" s="74"/>
      <c r="C120" s="74"/>
      <c r="D120" s="74"/>
      <c r="E120" s="74"/>
    </row>
    <row r="121">
      <c r="A121" s="74"/>
      <c r="B121" s="74"/>
      <c r="C121" s="74"/>
      <c r="D121" s="74"/>
      <c r="E121" s="74"/>
    </row>
    <row r="122">
      <c r="A122" s="74"/>
      <c r="B122" s="74"/>
      <c r="C122" s="74"/>
      <c r="D122" s="74"/>
      <c r="E122" s="74"/>
    </row>
    <row r="123">
      <c r="A123" s="74"/>
      <c r="B123" s="74"/>
      <c r="C123" s="74"/>
      <c r="D123" s="74"/>
      <c r="E123" s="74"/>
    </row>
    <row r="124">
      <c r="A124" s="74"/>
      <c r="B124" s="74"/>
      <c r="C124" s="74"/>
      <c r="D124" s="74"/>
      <c r="E124" s="74"/>
    </row>
    <row r="125">
      <c r="A125" s="74"/>
      <c r="B125" s="74"/>
      <c r="C125" s="74"/>
      <c r="D125" s="74"/>
      <c r="E125" s="74"/>
    </row>
    <row r="126">
      <c r="A126" s="74"/>
      <c r="B126" s="74"/>
      <c r="C126" s="74"/>
      <c r="D126" s="74"/>
      <c r="E126" s="74"/>
    </row>
    <row r="127">
      <c r="A127" s="74"/>
      <c r="B127" s="74"/>
      <c r="C127" s="74"/>
      <c r="D127" s="74"/>
      <c r="E127" s="74"/>
    </row>
    <row r="128">
      <c r="A128" s="74"/>
      <c r="B128" s="74"/>
      <c r="C128" s="74"/>
      <c r="D128" s="74"/>
      <c r="E128" s="74"/>
    </row>
    <row r="129">
      <c r="A129" s="74"/>
      <c r="B129" s="74"/>
      <c r="C129" s="74"/>
      <c r="D129" s="74"/>
      <c r="E129" s="74"/>
    </row>
    <row r="130">
      <c r="A130" s="74"/>
      <c r="B130" s="74"/>
      <c r="C130" s="74"/>
      <c r="D130" s="74"/>
      <c r="E130" s="74"/>
    </row>
    <row r="131">
      <c r="A131" s="74"/>
      <c r="B131" s="74"/>
      <c r="C131" s="74"/>
      <c r="D131" s="74"/>
      <c r="E131" s="74"/>
    </row>
    <row r="132">
      <c r="A132" s="74"/>
      <c r="B132" s="74"/>
      <c r="C132" s="74"/>
      <c r="D132" s="74"/>
      <c r="E132" s="74"/>
    </row>
    <row r="133">
      <c r="A133" s="74"/>
      <c r="B133" s="74"/>
      <c r="C133" s="74"/>
      <c r="D133" s="74"/>
      <c r="E133" s="74"/>
    </row>
    <row r="134">
      <c r="A134" s="74"/>
      <c r="B134" s="74"/>
      <c r="C134" s="74"/>
      <c r="D134" s="74"/>
      <c r="E134" s="74"/>
    </row>
    <row r="135">
      <c r="A135" s="74"/>
      <c r="B135" s="74"/>
      <c r="C135" s="74"/>
      <c r="D135" s="74"/>
      <c r="E135" s="74"/>
    </row>
    <row r="136">
      <c r="A136" s="74"/>
      <c r="B136" s="74"/>
      <c r="C136" s="74"/>
      <c r="D136" s="74"/>
      <c r="E136" s="74"/>
    </row>
    <row r="137">
      <c r="A137" s="74"/>
      <c r="B137" s="74"/>
      <c r="C137" s="74"/>
      <c r="D137" s="74"/>
      <c r="E137" s="74"/>
    </row>
    <row r="138">
      <c r="A138" s="74"/>
      <c r="B138" s="74"/>
      <c r="C138" s="74"/>
      <c r="D138" s="74"/>
      <c r="E138" s="74"/>
    </row>
    <row r="139">
      <c r="A139" s="74"/>
      <c r="B139" s="74"/>
      <c r="C139" s="74"/>
      <c r="D139" s="74"/>
      <c r="E139" s="74"/>
    </row>
    <row r="140">
      <c r="A140" s="74"/>
      <c r="B140" s="74"/>
      <c r="C140" s="74"/>
      <c r="D140" s="74"/>
      <c r="E140" s="74"/>
    </row>
    <row r="141">
      <c r="A141" s="74"/>
      <c r="B141" s="74"/>
      <c r="C141" s="74"/>
      <c r="D141" s="74"/>
      <c r="E141" s="74"/>
    </row>
    <row r="142">
      <c r="A142" s="74"/>
      <c r="B142" s="74"/>
      <c r="C142" s="74"/>
      <c r="D142" s="74"/>
      <c r="E142" s="74"/>
    </row>
    <row r="143">
      <c r="A143" s="74"/>
      <c r="B143" s="74"/>
      <c r="C143" s="74"/>
      <c r="D143" s="74"/>
      <c r="E143" s="74"/>
    </row>
    <row r="144">
      <c r="A144" s="74"/>
      <c r="B144" s="74"/>
      <c r="C144" s="74"/>
      <c r="D144" s="74"/>
      <c r="E144" s="74"/>
    </row>
    <row r="145">
      <c r="A145" s="74"/>
      <c r="B145" s="74"/>
      <c r="C145" s="74"/>
      <c r="D145" s="74"/>
      <c r="E145" s="74"/>
    </row>
    <row r="146">
      <c r="A146" s="74"/>
      <c r="B146" s="74"/>
      <c r="C146" s="74"/>
      <c r="D146" s="74"/>
      <c r="E146" s="74"/>
    </row>
    <row r="147">
      <c r="A147" s="74"/>
      <c r="B147" s="74"/>
      <c r="C147" s="74"/>
      <c r="D147" s="74"/>
      <c r="E147" s="74"/>
    </row>
    <row r="148">
      <c r="A148" s="74"/>
      <c r="B148" s="74"/>
      <c r="C148" s="74"/>
      <c r="D148" s="74"/>
      <c r="E148" s="74"/>
    </row>
    <row r="149">
      <c r="A149" s="74"/>
      <c r="B149" s="74"/>
      <c r="C149" s="74"/>
      <c r="D149" s="74"/>
      <c r="E149" s="74"/>
    </row>
    <row r="150">
      <c r="A150" s="74"/>
      <c r="B150" s="74"/>
      <c r="C150" s="74"/>
      <c r="D150" s="74"/>
      <c r="E150" s="74"/>
    </row>
    <row r="151">
      <c r="A151" s="74"/>
      <c r="B151" s="74"/>
      <c r="C151" s="74"/>
      <c r="D151" s="74"/>
      <c r="E151" s="74"/>
    </row>
    <row r="152">
      <c r="A152" s="74"/>
      <c r="B152" s="74"/>
      <c r="C152" s="74"/>
      <c r="D152" s="74"/>
      <c r="E152" s="74"/>
    </row>
    <row r="153">
      <c r="A153" s="74"/>
      <c r="B153" s="74"/>
      <c r="C153" s="74"/>
      <c r="D153" s="74"/>
      <c r="E153" s="74"/>
    </row>
    <row r="154">
      <c r="A154" s="74"/>
      <c r="B154" s="74"/>
      <c r="C154" s="74"/>
      <c r="D154" s="74"/>
      <c r="E154" s="74"/>
    </row>
    <row r="155">
      <c r="A155" s="74"/>
      <c r="B155" s="74"/>
      <c r="C155" s="74"/>
      <c r="D155" s="74"/>
      <c r="E155" s="74"/>
    </row>
    <row r="156">
      <c r="A156" s="74"/>
      <c r="B156" s="74"/>
      <c r="C156" s="74"/>
      <c r="D156" s="74"/>
      <c r="E156" s="74"/>
    </row>
    <row r="157">
      <c r="A157" s="74"/>
      <c r="B157" s="74"/>
      <c r="C157" s="74"/>
      <c r="D157" s="74"/>
      <c r="E157" s="74"/>
    </row>
    <row r="158">
      <c r="A158" s="74"/>
      <c r="B158" s="74"/>
      <c r="C158" s="74"/>
      <c r="D158" s="74"/>
      <c r="E158" s="74"/>
    </row>
    <row r="159">
      <c r="A159" s="74"/>
      <c r="B159" s="74"/>
      <c r="C159" s="74"/>
      <c r="D159" s="74"/>
      <c r="E159" s="74"/>
    </row>
    <row r="160">
      <c r="A160" s="74"/>
      <c r="B160" s="74"/>
      <c r="C160" s="74"/>
      <c r="D160" s="74"/>
      <c r="E160" s="74"/>
    </row>
    <row r="161">
      <c r="A161" s="74"/>
      <c r="B161" s="74"/>
      <c r="C161" s="74"/>
      <c r="D161" s="74"/>
      <c r="E161" s="74"/>
    </row>
    <row r="162">
      <c r="A162" s="74"/>
      <c r="B162" s="74"/>
      <c r="C162" s="74"/>
      <c r="D162" s="74"/>
      <c r="E162" s="74"/>
    </row>
    <row r="163">
      <c r="A163" s="74"/>
      <c r="B163" s="74"/>
      <c r="C163" s="74"/>
      <c r="D163" s="74"/>
      <c r="E163" s="74"/>
    </row>
    <row r="164">
      <c r="A164" s="74"/>
      <c r="B164" s="74"/>
      <c r="C164" s="74"/>
      <c r="D164" s="74"/>
      <c r="E164" s="74"/>
    </row>
    <row r="165">
      <c r="A165" s="74"/>
      <c r="B165" s="74"/>
      <c r="C165" s="74"/>
      <c r="D165" s="74"/>
      <c r="E165" s="74"/>
    </row>
    <row r="166">
      <c r="A166" s="74"/>
      <c r="B166" s="74"/>
      <c r="C166" s="74"/>
      <c r="D166" s="74"/>
      <c r="E166" s="74"/>
    </row>
    <row r="167">
      <c r="A167" s="74"/>
      <c r="B167" s="74"/>
      <c r="C167" s="74"/>
      <c r="D167" s="74"/>
      <c r="E167" s="74"/>
    </row>
    <row r="168">
      <c r="A168" s="74"/>
      <c r="B168" s="74"/>
      <c r="C168" s="74"/>
      <c r="D168" s="74"/>
      <c r="E168" s="74"/>
    </row>
    <row r="169">
      <c r="A169" s="74"/>
      <c r="B169" s="74"/>
      <c r="C169" s="74"/>
      <c r="D169" s="74"/>
      <c r="E169" s="74"/>
    </row>
    <row r="170">
      <c r="A170" s="74"/>
      <c r="B170" s="74"/>
      <c r="C170" s="74"/>
      <c r="D170" s="74"/>
      <c r="E170" s="74"/>
    </row>
    <row r="171">
      <c r="A171" s="74"/>
      <c r="B171" s="74"/>
      <c r="C171" s="74"/>
      <c r="D171" s="74"/>
      <c r="E171" s="74"/>
    </row>
    <row r="172">
      <c r="A172" s="74"/>
      <c r="B172" s="74"/>
      <c r="C172" s="74"/>
      <c r="D172" s="74"/>
      <c r="E172" s="74"/>
    </row>
    <row r="173">
      <c r="A173" s="74"/>
      <c r="B173" s="74"/>
      <c r="C173" s="74"/>
      <c r="D173" s="74"/>
      <c r="E173" s="74"/>
    </row>
    <row r="174">
      <c r="A174" s="74"/>
      <c r="B174" s="74"/>
      <c r="C174" s="74"/>
      <c r="D174" s="74"/>
      <c r="E174" s="74"/>
    </row>
    <row r="175">
      <c r="A175" s="74"/>
      <c r="B175" s="74"/>
      <c r="C175" s="74"/>
      <c r="D175" s="74"/>
      <c r="E175" s="74"/>
    </row>
    <row r="176">
      <c r="A176" s="74"/>
      <c r="B176" s="74"/>
      <c r="C176" s="74"/>
      <c r="D176" s="74"/>
      <c r="E176" s="74"/>
    </row>
    <row r="177">
      <c r="A177" s="74"/>
      <c r="B177" s="74"/>
      <c r="C177" s="74"/>
      <c r="D177" s="74"/>
      <c r="E177" s="74"/>
    </row>
    <row r="178">
      <c r="A178" s="74"/>
      <c r="B178" s="74"/>
      <c r="C178" s="74"/>
      <c r="D178" s="74"/>
      <c r="E178" s="74"/>
    </row>
    <row r="179">
      <c r="A179" s="74"/>
      <c r="B179" s="74"/>
      <c r="C179" s="74"/>
      <c r="D179" s="74"/>
      <c r="E179" s="74"/>
    </row>
    <row r="180">
      <c r="A180" s="74"/>
      <c r="B180" s="74"/>
      <c r="C180" s="74"/>
      <c r="D180" s="74"/>
      <c r="E180" s="74"/>
    </row>
    <row r="181">
      <c r="A181" s="74"/>
      <c r="B181" s="74"/>
      <c r="C181" s="74"/>
      <c r="D181" s="74"/>
      <c r="E181" s="74"/>
    </row>
    <row r="182">
      <c r="A182" s="74"/>
      <c r="B182" s="74"/>
      <c r="C182" s="74"/>
      <c r="D182" s="74"/>
      <c r="E182" s="74"/>
    </row>
    <row r="183">
      <c r="A183" s="74"/>
      <c r="B183" s="74"/>
      <c r="C183" s="74"/>
      <c r="D183" s="74"/>
      <c r="E183" s="74"/>
    </row>
    <row r="184">
      <c r="A184" s="74"/>
      <c r="B184" s="74"/>
      <c r="C184" s="74"/>
      <c r="D184" s="74"/>
      <c r="E184" s="74"/>
    </row>
    <row r="185">
      <c r="A185" s="74"/>
      <c r="B185" s="74"/>
      <c r="C185" s="74"/>
      <c r="D185" s="74"/>
      <c r="E185" s="74"/>
    </row>
    <row r="186">
      <c r="A186" s="74"/>
      <c r="B186" s="74"/>
      <c r="C186" s="74"/>
      <c r="D186" s="74"/>
      <c r="E186" s="74"/>
    </row>
    <row r="187">
      <c r="A187" s="74"/>
      <c r="B187" s="74"/>
      <c r="C187" s="74"/>
      <c r="D187" s="74"/>
      <c r="E187" s="74"/>
    </row>
    <row r="188">
      <c r="A188" s="74"/>
      <c r="B188" s="74"/>
      <c r="C188" s="74"/>
      <c r="D188" s="74"/>
      <c r="E188" s="74"/>
    </row>
    <row r="189">
      <c r="A189" s="74"/>
      <c r="B189" s="74"/>
      <c r="C189" s="74"/>
      <c r="D189" s="74"/>
      <c r="E189" s="74"/>
    </row>
    <row r="190">
      <c r="A190" s="74"/>
      <c r="B190" s="74"/>
      <c r="C190" s="74"/>
      <c r="D190" s="74"/>
      <c r="E190" s="74"/>
    </row>
    <row r="191">
      <c r="A191" s="74"/>
      <c r="B191" s="74"/>
      <c r="C191" s="74"/>
      <c r="D191" s="74"/>
      <c r="E191" s="74"/>
    </row>
    <row r="192">
      <c r="A192" s="74"/>
      <c r="B192" s="74"/>
      <c r="C192" s="74"/>
      <c r="D192" s="74"/>
      <c r="E192" s="74"/>
    </row>
    <row r="193">
      <c r="A193" s="74"/>
      <c r="B193" s="74"/>
      <c r="C193" s="74"/>
      <c r="D193" s="74"/>
      <c r="E193" s="74"/>
    </row>
    <row r="194">
      <c r="A194" s="74"/>
      <c r="B194" s="74"/>
      <c r="C194" s="74"/>
      <c r="D194" s="74"/>
      <c r="E194" s="74"/>
    </row>
    <row r="195">
      <c r="A195" s="74"/>
      <c r="B195" s="74"/>
      <c r="C195" s="74"/>
      <c r="D195" s="74"/>
      <c r="E195" s="74"/>
    </row>
    <row r="196">
      <c r="A196" s="74"/>
      <c r="B196" s="74"/>
      <c r="C196" s="74"/>
      <c r="D196" s="74"/>
      <c r="E196" s="74"/>
    </row>
    <row r="197">
      <c r="A197" s="74"/>
      <c r="B197" s="74"/>
      <c r="C197" s="74"/>
      <c r="D197" s="74"/>
      <c r="E197" s="74"/>
    </row>
    <row r="198">
      <c r="A198" s="74"/>
      <c r="B198" s="74"/>
      <c r="C198" s="74"/>
      <c r="D198" s="74"/>
      <c r="E198" s="74"/>
    </row>
    <row r="199">
      <c r="A199" s="74"/>
      <c r="B199" s="74"/>
      <c r="C199" s="74"/>
      <c r="D199" s="74"/>
      <c r="E199" s="74"/>
    </row>
    <row r="200">
      <c r="A200" s="74"/>
      <c r="B200" s="74"/>
      <c r="C200" s="74"/>
      <c r="D200" s="74"/>
      <c r="E200" s="74"/>
    </row>
    <row r="201">
      <c r="A201" s="74"/>
      <c r="B201" s="74"/>
      <c r="C201" s="74"/>
      <c r="D201" s="74"/>
      <c r="E201" s="74"/>
    </row>
    <row r="202">
      <c r="A202" s="74"/>
      <c r="B202" s="74"/>
      <c r="C202" s="74"/>
      <c r="D202" s="74"/>
      <c r="E202" s="74"/>
    </row>
    <row r="203">
      <c r="A203" s="74"/>
      <c r="B203" s="74"/>
      <c r="C203" s="74"/>
      <c r="D203" s="74"/>
      <c r="E203" s="74"/>
    </row>
    <row r="204">
      <c r="A204" s="74"/>
      <c r="B204" s="74"/>
      <c r="C204" s="74"/>
      <c r="D204" s="74"/>
      <c r="E204" s="74"/>
    </row>
    <row r="205">
      <c r="A205" s="74"/>
      <c r="B205" s="74"/>
      <c r="C205" s="74"/>
      <c r="D205" s="74"/>
      <c r="E205" s="74"/>
    </row>
    <row r="206">
      <c r="A206" s="74"/>
      <c r="B206" s="74"/>
      <c r="C206" s="74"/>
      <c r="D206" s="74"/>
      <c r="E206" s="74"/>
    </row>
    <row r="207">
      <c r="A207" s="74"/>
      <c r="B207" s="74"/>
      <c r="C207" s="74"/>
      <c r="D207" s="74"/>
      <c r="E207" s="74"/>
    </row>
    <row r="208">
      <c r="A208" s="74"/>
      <c r="B208" s="74"/>
      <c r="C208" s="74"/>
      <c r="D208" s="74"/>
      <c r="E208" s="74"/>
    </row>
    <row r="209">
      <c r="A209" s="74"/>
      <c r="B209" s="74"/>
      <c r="C209" s="74"/>
      <c r="D209" s="74"/>
      <c r="E209" s="74"/>
    </row>
    <row r="210">
      <c r="A210" s="74"/>
      <c r="B210" s="74"/>
      <c r="C210" s="74"/>
      <c r="D210" s="74"/>
      <c r="E210" s="74"/>
    </row>
    <row r="211">
      <c r="A211" s="74"/>
      <c r="B211" s="74"/>
      <c r="C211" s="74"/>
      <c r="D211" s="74"/>
      <c r="E211" s="74"/>
    </row>
    <row r="212">
      <c r="A212" s="74"/>
      <c r="B212" s="74"/>
      <c r="C212" s="74"/>
      <c r="D212" s="74"/>
      <c r="E212" s="74"/>
    </row>
    <row r="213">
      <c r="A213" s="74"/>
      <c r="B213" s="74"/>
      <c r="C213" s="74"/>
      <c r="D213" s="74"/>
      <c r="E213" s="74"/>
    </row>
    <row r="214">
      <c r="A214" s="74"/>
      <c r="B214" s="74"/>
      <c r="C214" s="74"/>
      <c r="D214" s="74"/>
      <c r="E214" s="74"/>
    </row>
    <row r="215">
      <c r="A215" s="74"/>
      <c r="B215" s="74"/>
      <c r="C215" s="74"/>
      <c r="D215" s="74"/>
      <c r="E215" s="74"/>
    </row>
    <row r="216">
      <c r="A216" s="74"/>
      <c r="B216" s="74"/>
      <c r="C216" s="74"/>
      <c r="D216" s="74"/>
      <c r="E216" s="74"/>
    </row>
    <row r="217">
      <c r="A217" s="74"/>
      <c r="B217" s="74"/>
      <c r="C217" s="74"/>
      <c r="D217" s="74"/>
      <c r="E217" s="74"/>
    </row>
    <row r="218">
      <c r="A218" s="74"/>
      <c r="B218" s="74"/>
      <c r="C218" s="74"/>
      <c r="D218" s="74"/>
      <c r="E218" s="74"/>
    </row>
    <row r="219">
      <c r="A219" s="74"/>
      <c r="B219" s="74"/>
      <c r="C219" s="74"/>
      <c r="D219" s="74"/>
      <c r="E219" s="74"/>
    </row>
    <row r="220">
      <c r="A220" s="74"/>
      <c r="B220" s="74"/>
      <c r="C220" s="74"/>
      <c r="D220" s="74"/>
      <c r="E220" s="74"/>
    </row>
    <row r="221">
      <c r="A221" s="74"/>
      <c r="B221" s="74"/>
      <c r="C221" s="74"/>
      <c r="D221" s="74"/>
      <c r="E221" s="74"/>
    </row>
    <row r="222">
      <c r="A222" s="74"/>
      <c r="B222" s="74"/>
      <c r="C222" s="74"/>
      <c r="D222" s="74"/>
      <c r="E222" s="74"/>
    </row>
    <row r="223">
      <c r="A223" s="74"/>
      <c r="B223" s="74"/>
      <c r="C223" s="74"/>
      <c r="D223" s="74"/>
      <c r="E223" s="74"/>
    </row>
    <row r="224">
      <c r="A224" s="74"/>
      <c r="B224" s="74"/>
      <c r="C224" s="74"/>
      <c r="D224" s="74"/>
      <c r="E224" s="74"/>
    </row>
    <row r="225">
      <c r="A225" s="74"/>
      <c r="B225" s="74"/>
      <c r="C225" s="74"/>
      <c r="D225" s="74"/>
      <c r="E225" s="74"/>
    </row>
    <row r="226">
      <c r="A226" s="74"/>
      <c r="B226" s="74"/>
      <c r="C226" s="74"/>
      <c r="D226" s="74"/>
      <c r="E226" s="74"/>
    </row>
    <row r="227">
      <c r="A227" s="74"/>
      <c r="B227" s="74"/>
      <c r="C227" s="74"/>
      <c r="D227" s="74"/>
      <c r="E227" s="74"/>
    </row>
    <row r="228">
      <c r="A228" s="74"/>
      <c r="B228" s="74"/>
      <c r="C228" s="74"/>
      <c r="D228" s="74"/>
      <c r="E228" s="74"/>
    </row>
    <row r="229">
      <c r="A229" s="74"/>
      <c r="B229" s="74"/>
      <c r="C229" s="74"/>
      <c r="D229" s="74"/>
      <c r="E229" s="74"/>
    </row>
    <row r="230">
      <c r="A230" s="74"/>
      <c r="B230" s="74"/>
      <c r="C230" s="74"/>
      <c r="D230" s="74"/>
      <c r="E230" s="74"/>
    </row>
    <row r="231">
      <c r="A231" s="74"/>
      <c r="B231" s="74"/>
      <c r="C231" s="74"/>
      <c r="D231" s="74"/>
      <c r="E231" s="74"/>
    </row>
    <row r="232">
      <c r="A232" s="74"/>
      <c r="B232" s="74"/>
      <c r="C232" s="74"/>
      <c r="D232" s="74"/>
      <c r="E232" s="74"/>
    </row>
    <row r="233">
      <c r="A233" s="74"/>
      <c r="B233" s="74"/>
      <c r="C233" s="74"/>
      <c r="D233" s="74"/>
      <c r="E233" s="74"/>
    </row>
    <row r="234">
      <c r="A234" s="74"/>
      <c r="B234" s="74"/>
      <c r="C234" s="74"/>
      <c r="D234" s="74"/>
      <c r="E234" s="74"/>
    </row>
    <row r="235">
      <c r="A235" s="74"/>
      <c r="B235" s="74"/>
      <c r="C235" s="74"/>
      <c r="D235" s="74"/>
      <c r="E235" s="74"/>
    </row>
    <row r="236">
      <c r="A236" s="74"/>
      <c r="B236" s="74"/>
      <c r="C236" s="74"/>
      <c r="D236" s="74"/>
      <c r="E236" s="74"/>
    </row>
    <row r="237">
      <c r="A237" s="74"/>
      <c r="B237" s="74"/>
      <c r="C237" s="74"/>
      <c r="D237" s="74"/>
      <c r="E237" s="74"/>
    </row>
    <row r="238">
      <c r="A238" s="74"/>
      <c r="B238" s="74"/>
      <c r="C238" s="74"/>
      <c r="D238" s="74"/>
      <c r="E238" s="74"/>
    </row>
    <row r="239">
      <c r="A239" s="74"/>
      <c r="B239" s="74"/>
      <c r="C239" s="74"/>
      <c r="D239" s="74"/>
      <c r="E239" s="74"/>
    </row>
    <row r="240">
      <c r="A240" s="74"/>
      <c r="B240" s="74"/>
      <c r="C240" s="74"/>
      <c r="D240" s="74"/>
      <c r="E240" s="74"/>
    </row>
    <row r="241">
      <c r="A241" s="74"/>
      <c r="B241" s="74"/>
      <c r="C241" s="74"/>
      <c r="D241" s="74"/>
      <c r="E241" s="74"/>
    </row>
    <row r="242">
      <c r="A242" s="74"/>
      <c r="B242" s="74"/>
      <c r="C242" s="74"/>
      <c r="D242" s="74"/>
      <c r="E242" s="74"/>
    </row>
    <row r="243">
      <c r="A243" s="74"/>
      <c r="B243" s="74"/>
      <c r="C243" s="74"/>
      <c r="D243" s="74"/>
      <c r="E243" s="74"/>
    </row>
    <row r="244">
      <c r="A244" s="74"/>
      <c r="B244" s="74"/>
      <c r="C244" s="74"/>
      <c r="D244" s="74"/>
      <c r="E244" s="74"/>
    </row>
    <row r="245">
      <c r="A245" s="74"/>
      <c r="B245" s="74"/>
      <c r="C245" s="74"/>
      <c r="D245" s="74"/>
      <c r="E245" s="74"/>
    </row>
    <row r="246">
      <c r="A246" s="74"/>
      <c r="B246" s="74"/>
      <c r="C246" s="74"/>
      <c r="D246" s="74"/>
      <c r="E246" s="74"/>
    </row>
    <row r="247">
      <c r="A247" s="74"/>
      <c r="B247" s="74"/>
      <c r="C247" s="74"/>
      <c r="D247" s="74"/>
      <c r="E247" s="74"/>
    </row>
    <row r="248">
      <c r="A248" s="74"/>
      <c r="B248" s="74"/>
      <c r="C248" s="74"/>
      <c r="D248" s="74"/>
      <c r="E248" s="74"/>
    </row>
    <row r="249">
      <c r="A249" s="74"/>
      <c r="B249" s="74"/>
      <c r="C249" s="74"/>
      <c r="D249" s="74"/>
      <c r="E249" s="74"/>
    </row>
    <row r="250">
      <c r="A250" s="74"/>
      <c r="B250" s="74"/>
      <c r="C250" s="74"/>
      <c r="D250" s="74"/>
      <c r="E250" s="74"/>
    </row>
    <row r="251">
      <c r="A251" s="74"/>
      <c r="B251" s="74"/>
      <c r="C251" s="74"/>
      <c r="D251" s="74"/>
      <c r="E251" s="74"/>
    </row>
    <row r="252">
      <c r="A252" s="74"/>
      <c r="B252" s="74"/>
      <c r="C252" s="74"/>
      <c r="D252" s="74"/>
      <c r="E252" s="74"/>
    </row>
    <row r="253">
      <c r="A253" s="74"/>
      <c r="B253" s="74"/>
      <c r="C253" s="74"/>
      <c r="D253" s="74"/>
      <c r="E253" s="74"/>
    </row>
    <row r="254">
      <c r="A254" s="74"/>
      <c r="B254" s="74"/>
      <c r="C254" s="74"/>
      <c r="D254" s="74"/>
      <c r="E254" s="74"/>
    </row>
    <row r="255">
      <c r="A255" s="74"/>
      <c r="B255" s="74"/>
      <c r="C255" s="74"/>
      <c r="D255" s="74"/>
      <c r="E255" s="74"/>
    </row>
    <row r="256">
      <c r="A256" s="74"/>
      <c r="B256" s="74"/>
      <c r="C256" s="74"/>
      <c r="D256" s="74"/>
      <c r="E256" s="74"/>
    </row>
    <row r="257">
      <c r="A257" s="74"/>
      <c r="B257" s="74"/>
      <c r="C257" s="74"/>
      <c r="D257" s="74"/>
      <c r="E257" s="74"/>
    </row>
    <row r="258">
      <c r="A258" s="74"/>
      <c r="B258" s="74"/>
      <c r="C258" s="74"/>
      <c r="D258" s="74"/>
      <c r="E258" s="74"/>
    </row>
    <row r="259">
      <c r="A259" s="74"/>
      <c r="B259" s="74"/>
      <c r="C259" s="74"/>
      <c r="D259" s="74"/>
      <c r="E259" s="74"/>
    </row>
    <row r="260">
      <c r="A260" s="74"/>
      <c r="B260" s="74"/>
      <c r="C260" s="74"/>
      <c r="D260" s="74"/>
      <c r="E260" s="74"/>
    </row>
    <row r="261">
      <c r="A261" s="74"/>
      <c r="B261" s="74"/>
      <c r="C261" s="74"/>
      <c r="D261" s="74"/>
      <c r="E261" s="74"/>
    </row>
    <row r="262">
      <c r="A262" s="74"/>
      <c r="B262" s="74"/>
      <c r="C262" s="74"/>
      <c r="D262" s="74"/>
      <c r="E262" s="74"/>
    </row>
    <row r="263">
      <c r="A263" s="74"/>
      <c r="B263" s="74"/>
      <c r="C263" s="74"/>
      <c r="D263" s="74"/>
      <c r="E263" s="74"/>
    </row>
    <row r="264">
      <c r="A264" s="74"/>
      <c r="B264" s="74"/>
      <c r="C264" s="74"/>
      <c r="D264" s="74"/>
      <c r="E264" s="74"/>
    </row>
    <row r="265">
      <c r="A265" s="74"/>
      <c r="B265" s="74"/>
      <c r="C265" s="74"/>
      <c r="D265" s="74"/>
      <c r="E265" s="74"/>
    </row>
    <row r="266">
      <c r="A266" s="74"/>
      <c r="B266" s="74"/>
      <c r="C266" s="74"/>
      <c r="D266" s="74"/>
      <c r="E266" s="74"/>
    </row>
    <row r="267">
      <c r="A267" s="74"/>
      <c r="B267" s="74"/>
      <c r="C267" s="74"/>
      <c r="D267" s="74"/>
      <c r="E267" s="74"/>
    </row>
    <row r="268">
      <c r="A268" s="74"/>
      <c r="B268" s="74"/>
      <c r="C268" s="74"/>
      <c r="D268" s="74"/>
      <c r="E268" s="74"/>
    </row>
    <row r="269">
      <c r="A269" s="74"/>
      <c r="B269" s="74"/>
      <c r="C269" s="74"/>
      <c r="D269" s="74"/>
      <c r="E269" s="74"/>
    </row>
    <row r="270">
      <c r="A270" s="74"/>
      <c r="B270" s="74"/>
      <c r="C270" s="74"/>
      <c r="D270" s="74"/>
      <c r="E270" s="74"/>
    </row>
    <row r="271">
      <c r="A271" s="74"/>
      <c r="B271" s="74"/>
      <c r="C271" s="74"/>
      <c r="D271" s="74"/>
      <c r="E271" s="74"/>
    </row>
    <row r="272">
      <c r="A272" s="74"/>
      <c r="B272" s="74"/>
      <c r="C272" s="74"/>
      <c r="D272" s="74"/>
      <c r="E272" s="74"/>
    </row>
    <row r="273">
      <c r="A273" s="74"/>
      <c r="B273" s="74"/>
      <c r="C273" s="74"/>
      <c r="D273" s="74"/>
      <c r="E273" s="74"/>
    </row>
    <row r="274">
      <c r="A274" s="74"/>
      <c r="B274" s="74"/>
      <c r="C274" s="74"/>
      <c r="D274" s="74"/>
      <c r="E274" s="74"/>
    </row>
    <row r="275">
      <c r="A275" s="74"/>
      <c r="B275" s="74"/>
      <c r="C275" s="74"/>
      <c r="D275" s="74"/>
      <c r="E275" s="74"/>
    </row>
    <row r="276">
      <c r="A276" s="74"/>
      <c r="B276" s="74"/>
      <c r="C276" s="74"/>
      <c r="D276" s="74"/>
      <c r="E276" s="74"/>
    </row>
    <row r="277">
      <c r="A277" s="74"/>
      <c r="B277" s="74"/>
      <c r="C277" s="74"/>
      <c r="D277" s="74"/>
      <c r="E277" s="74"/>
    </row>
    <row r="278">
      <c r="A278" s="74"/>
      <c r="B278" s="74"/>
      <c r="C278" s="74"/>
      <c r="D278" s="74"/>
      <c r="E278" s="74"/>
    </row>
    <row r="279">
      <c r="A279" s="74"/>
      <c r="B279" s="74"/>
      <c r="C279" s="74"/>
      <c r="D279" s="74"/>
      <c r="E279" s="74"/>
    </row>
    <row r="280">
      <c r="A280" s="74"/>
      <c r="B280" s="74"/>
      <c r="C280" s="74"/>
      <c r="D280" s="74"/>
      <c r="E280" s="74"/>
    </row>
    <row r="281">
      <c r="A281" s="74"/>
      <c r="B281" s="74"/>
      <c r="C281" s="74"/>
      <c r="D281" s="74"/>
      <c r="E281" s="74"/>
    </row>
    <row r="282">
      <c r="A282" s="74"/>
      <c r="B282" s="74"/>
      <c r="C282" s="74"/>
      <c r="D282" s="74"/>
      <c r="E282" s="74"/>
    </row>
    <row r="283">
      <c r="A283" s="74"/>
      <c r="B283" s="74"/>
      <c r="C283" s="74"/>
      <c r="D283" s="74"/>
      <c r="E283" s="74"/>
    </row>
    <row r="284">
      <c r="A284" s="74"/>
      <c r="B284" s="74"/>
      <c r="C284" s="74"/>
      <c r="D284" s="74"/>
      <c r="E284" s="74"/>
    </row>
    <row r="285">
      <c r="A285" s="74"/>
      <c r="B285" s="74"/>
      <c r="C285" s="74"/>
      <c r="D285" s="74"/>
      <c r="E285" s="74"/>
    </row>
    <row r="286">
      <c r="A286" s="74"/>
      <c r="B286" s="74"/>
      <c r="C286" s="74"/>
      <c r="D286" s="74"/>
      <c r="E286" s="74"/>
    </row>
    <row r="287">
      <c r="A287" s="74"/>
      <c r="B287" s="74"/>
      <c r="C287" s="74"/>
      <c r="D287" s="74"/>
      <c r="E287" s="74"/>
    </row>
    <row r="288">
      <c r="A288" s="74"/>
      <c r="B288" s="74"/>
      <c r="C288" s="74"/>
      <c r="D288" s="74"/>
      <c r="E288" s="74"/>
    </row>
    <row r="289">
      <c r="A289" s="74"/>
      <c r="B289" s="74"/>
      <c r="C289" s="74"/>
      <c r="D289" s="74"/>
      <c r="E289" s="74"/>
    </row>
    <row r="290">
      <c r="A290" s="74"/>
      <c r="B290" s="74"/>
      <c r="C290" s="74"/>
      <c r="D290" s="74"/>
      <c r="E290" s="74"/>
    </row>
    <row r="291">
      <c r="A291" s="74"/>
      <c r="B291" s="74"/>
      <c r="C291" s="74"/>
      <c r="D291" s="74"/>
      <c r="E291" s="74"/>
    </row>
    <row r="292">
      <c r="A292" s="74"/>
      <c r="B292" s="74"/>
      <c r="C292" s="74"/>
      <c r="D292" s="74"/>
      <c r="E292" s="74"/>
    </row>
    <row r="293">
      <c r="A293" s="74"/>
      <c r="B293" s="74"/>
      <c r="C293" s="74"/>
      <c r="D293" s="74"/>
      <c r="E293" s="74"/>
    </row>
    <row r="294">
      <c r="A294" s="74"/>
      <c r="B294" s="74"/>
      <c r="C294" s="74"/>
      <c r="D294" s="74"/>
      <c r="E294" s="74"/>
    </row>
    <row r="295">
      <c r="A295" s="74"/>
      <c r="B295" s="74"/>
      <c r="C295" s="74"/>
      <c r="D295" s="74"/>
      <c r="E295" s="74"/>
    </row>
    <row r="296">
      <c r="A296" s="74"/>
      <c r="B296" s="74"/>
      <c r="C296" s="74"/>
      <c r="D296" s="74"/>
      <c r="E296" s="74"/>
    </row>
    <row r="297">
      <c r="A297" s="74"/>
      <c r="B297" s="74"/>
      <c r="C297" s="74"/>
      <c r="D297" s="74"/>
      <c r="E297" s="74"/>
    </row>
    <row r="298">
      <c r="A298" s="74"/>
      <c r="B298" s="74"/>
      <c r="C298" s="74"/>
      <c r="D298" s="74"/>
      <c r="E298" s="74"/>
    </row>
    <row r="299">
      <c r="A299" s="74"/>
      <c r="B299" s="74"/>
      <c r="C299" s="74"/>
      <c r="D299" s="74"/>
      <c r="E299" s="74"/>
    </row>
    <row r="300">
      <c r="A300" s="74"/>
      <c r="B300" s="74"/>
      <c r="C300" s="74"/>
      <c r="D300" s="74"/>
      <c r="E300" s="74"/>
    </row>
    <row r="301">
      <c r="A301" s="74"/>
      <c r="B301" s="74"/>
      <c r="C301" s="74"/>
      <c r="D301" s="74"/>
      <c r="E301" s="74"/>
    </row>
    <row r="302">
      <c r="A302" s="74"/>
      <c r="B302" s="74"/>
      <c r="C302" s="74"/>
      <c r="D302" s="74"/>
      <c r="E302" s="74"/>
    </row>
    <row r="303">
      <c r="A303" s="74"/>
      <c r="B303" s="74"/>
      <c r="C303" s="74"/>
      <c r="D303" s="74"/>
      <c r="E303" s="74"/>
    </row>
    <row r="304">
      <c r="A304" s="74"/>
      <c r="B304" s="74"/>
      <c r="C304" s="74"/>
      <c r="D304" s="74"/>
      <c r="E304" s="74"/>
    </row>
    <row r="305">
      <c r="A305" s="74"/>
      <c r="B305" s="74"/>
      <c r="C305" s="74"/>
      <c r="D305" s="74"/>
      <c r="E305" s="74"/>
    </row>
    <row r="306">
      <c r="A306" s="74"/>
      <c r="B306" s="74"/>
      <c r="C306" s="74"/>
      <c r="D306" s="74"/>
      <c r="E306" s="74"/>
    </row>
    <row r="307">
      <c r="A307" s="74"/>
      <c r="B307" s="74"/>
      <c r="C307" s="74"/>
      <c r="D307" s="74"/>
      <c r="E307" s="74"/>
    </row>
    <row r="308">
      <c r="A308" s="74"/>
      <c r="B308" s="74"/>
      <c r="C308" s="74"/>
      <c r="D308" s="74"/>
      <c r="E308" s="74"/>
    </row>
    <row r="309">
      <c r="A309" s="74"/>
      <c r="B309" s="74"/>
      <c r="C309" s="74"/>
      <c r="D309" s="74"/>
      <c r="E309" s="74"/>
    </row>
    <row r="310">
      <c r="A310" s="74"/>
      <c r="B310" s="74"/>
      <c r="C310" s="74"/>
      <c r="D310" s="74"/>
      <c r="E310" s="74"/>
    </row>
    <row r="311">
      <c r="A311" s="74"/>
      <c r="B311" s="74"/>
      <c r="C311" s="74"/>
      <c r="D311" s="74"/>
      <c r="E311" s="74"/>
    </row>
    <row r="312">
      <c r="A312" s="74"/>
      <c r="B312" s="74"/>
      <c r="C312" s="74"/>
      <c r="D312" s="74"/>
      <c r="E312" s="74"/>
    </row>
    <row r="313">
      <c r="A313" s="74"/>
      <c r="B313" s="74"/>
      <c r="C313" s="74"/>
      <c r="D313" s="74"/>
      <c r="E313" s="74"/>
    </row>
    <row r="314">
      <c r="A314" s="74"/>
      <c r="B314" s="74"/>
      <c r="C314" s="74"/>
      <c r="D314" s="74"/>
      <c r="E314" s="74"/>
    </row>
    <row r="315">
      <c r="A315" s="74"/>
      <c r="B315" s="74"/>
      <c r="C315" s="74"/>
      <c r="D315" s="74"/>
      <c r="E315" s="74"/>
    </row>
    <row r="316">
      <c r="A316" s="74"/>
      <c r="B316" s="74"/>
      <c r="C316" s="74"/>
      <c r="D316" s="74"/>
      <c r="E316" s="74"/>
    </row>
    <row r="317">
      <c r="A317" s="74"/>
      <c r="B317" s="74"/>
      <c r="C317" s="74"/>
      <c r="D317" s="74"/>
      <c r="E317" s="74"/>
    </row>
    <row r="318">
      <c r="A318" s="74"/>
      <c r="B318" s="74"/>
      <c r="C318" s="74"/>
      <c r="D318" s="74"/>
      <c r="E318" s="74"/>
    </row>
    <row r="319">
      <c r="A319" s="74"/>
      <c r="B319" s="74"/>
      <c r="C319" s="74"/>
      <c r="D319" s="74"/>
      <c r="E319" s="74"/>
    </row>
    <row r="320">
      <c r="A320" s="74"/>
      <c r="B320" s="74"/>
      <c r="C320" s="74"/>
      <c r="D320" s="74"/>
      <c r="E320" s="74"/>
    </row>
    <row r="321">
      <c r="A321" s="74"/>
      <c r="B321" s="74"/>
      <c r="C321" s="74"/>
      <c r="D321" s="74"/>
      <c r="E321" s="74"/>
    </row>
    <row r="322">
      <c r="A322" s="74"/>
      <c r="B322" s="74"/>
      <c r="C322" s="74"/>
      <c r="D322" s="74"/>
      <c r="E322" s="74"/>
    </row>
    <row r="323">
      <c r="A323" s="74"/>
      <c r="B323" s="74"/>
      <c r="C323" s="74"/>
      <c r="D323" s="74"/>
      <c r="E323" s="74"/>
    </row>
    <row r="324">
      <c r="A324" s="74"/>
      <c r="B324" s="74"/>
      <c r="C324" s="74"/>
      <c r="D324" s="74"/>
      <c r="E324" s="74"/>
    </row>
    <row r="325">
      <c r="A325" s="74"/>
      <c r="B325" s="74"/>
      <c r="C325" s="74"/>
      <c r="D325" s="74"/>
      <c r="E325" s="74"/>
    </row>
    <row r="326">
      <c r="A326" s="74"/>
      <c r="B326" s="74"/>
      <c r="C326" s="74"/>
      <c r="D326" s="74"/>
      <c r="E326" s="74"/>
    </row>
    <row r="327">
      <c r="A327" s="74"/>
      <c r="B327" s="74"/>
      <c r="C327" s="74"/>
      <c r="D327" s="74"/>
      <c r="E327" s="74"/>
    </row>
    <row r="328">
      <c r="A328" s="74"/>
      <c r="B328" s="74"/>
      <c r="C328" s="74"/>
      <c r="D328" s="74"/>
      <c r="E328" s="74"/>
    </row>
    <row r="329">
      <c r="A329" s="74"/>
      <c r="B329" s="74"/>
      <c r="C329" s="74"/>
      <c r="D329" s="74"/>
      <c r="E329" s="74"/>
    </row>
    <row r="330">
      <c r="A330" s="74"/>
      <c r="B330" s="74"/>
      <c r="C330" s="74"/>
      <c r="D330" s="74"/>
      <c r="E330" s="74"/>
    </row>
    <row r="331">
      <c r="A331" s="74"/>
      <c r="B331" s="74"/>
      <c r="C331" s="74"/>
      <c r="D331" s="74"/>
      <c r="E331" s="74"/>
    </row>
    <row r="332">
      <c r="A332" s="74"/>
      <c r="B332" s="74"/>
      <c r="C332" s="74"/>
      <c r="D332" s="74"/>
      <c r="E332" s="74"/>
    </row>
    <row r="333">
      <c r="A333" s="74"/>
      <c r="B333" s="74"/>
      <c r="C333" s="74"/>
      <c r="D333" s="74"/>
      <c r="E333" s="74"/>
    </row>
    <row r="334">
      <c r="A334" s="74"/>
      <c r="B334" s="74"/>
      <c r="C334" s="74"/>
      <c r="D334" s="74"/>
      <c r="E334" s="74"/>
    </row>
    <row r="335">
      <c r="A335" s="74"/>
      <c r="B335" s="74"/>
      <c r="C335" s="74"/>
      <c r="D335" s="74"/>
      <c r="E335" s="74"/>
    </row>
    <row r="336">
      <c r="A336" s="74"/>
      <c r="B336" s="74"/>
      <c r="C336" s="74"/>
      <c r="D336" s="74"/>
      <c r="E336" s="74"/>
    </row>
    <row r="337">
      <c r="A337" s="74"/>
      <c r="B337" s="74"/>
      <c r="C337" s="74"/>
      <c r="D337" s="74"/>
      <c r="E337" s="74"/>
    </row>
    <row r="338">
      <c r="A338" s="74"/>
      <c r="B338" s="74"/>
      <c r="C338" s="74"/>
      <c r="D338" s="74"/>
      <c r="E338" s="74"/>
    </row>
    <row r="339">
      <c r="A339" s="74"/>
      <c r="B339" s="74"/>
      <c r="C339" s="74"/>
      <c r="D339" s="74"/>
      <c r="E339" s="74"/>
    </row>
    <row r="340">
      <c r="A340" s="74"/>
      <c r="B340" s="74"/>
      <c r="C340" s="74"/>
      <c r="D340" s="74"/>
      <c r="E340" s="74"/>
    </row>
    <row r="341">
      <c r="A341" s="74"/>
      <c r="B341" s="74"/>
      <c r="C341" s="74"/>
      <c r="D341" s="74"/>
      <c r="E341" s="74"/>
    </row>
    <row r="342">
      <c r="A342" s="74"/>
      <c r="B342" s="74"/>
      <c r="C342" s="74"/>
      <c r="D342" s="74"/>
      <c r="E342" s="74"/>
    </row>
    <row r="343">
      <c r="A343" s="74"/>
      <c r="B343" s="74"/>
      <c r="C343" s="74"/>
      <c r="D343" s="74"/>
      <c r="E343" s="74"/>
    </row>
    <row r="344">
      <c r="A344" s="74"/>
      <c r="B344" s="74"/>
      <c r="C344" s="74"/>
      <c r="D344" s="74"/>
      <c r="E344" s="74"/>
    </row>
    <row r="345">
      <c r="A345" s="74"/>
      <c r="B345" s="74"/>
      <c r="C345" s="74"/>
      <c r="D345" s="74"/>
      <c r="E345" s="74"/>
    </row>
    <row r="346">
      <c r="A346" s="74"/>
      <c r="B346" s="74"/>
      <c r="C346" s="74"/>
      <c r="D346" s="74"/>
      <c r="E346" s="74"/>
    </row>
    <row r="347">
      <c r="A347" s="74"/>
      <c r="B347" s="74"/>
      <c r="C347" s="74"/>
      <c r="D347" s="74"/>
      <c r="E347" s="74"/>
    </row>
    <row r="348">
      <c r="A348" s="74"/>
      <c r="B348" s="74"/>
      <c r="C348" s="74"/>
      <c r="D348" s="74"/>
      <c r="E348" s="74"/>
    </row>
    <row r="349">
      <c r="A349" s="74"/>
      <c r="B349" s="74"/>
      <c r="C349" s="74"/>
      <c r="D349" s="74"/>
      <c r="E349" s="74"/>
    </row>
    <row r="350">
      <c r="A350" s="74"/>
      <c r="B350" s="74"/>
      <c r="C350" s="74"/>
      <c r="D350" s="74"/>
      <c r="E350" s="74"/>
    </row>
    <row r="351">
      <c r="A351" s="74"/>
      <c r="B351" s="74"/>
      <c r="C351" s="74"/>
      <c r="D351" s="74"/>
      <c r="E351" s="74"/>
    </row>
    <row r="352">
      <c r="A352" s="74"/>
      <c r="B352" s="74"/>
      <c r="C352" s="74"/>
      <c r="D352" s="74"/>
      <c r="E352" s="74"/>
    </row>
    <row r="353">
      <c r="A353" s="74"/>
      <c r="B353" s="74"/>
      <c r="C353" s="74"/>
      <c r="D353" s="74"/>
      <c r="E353" s="74"/>
    </row>
    <row r="354">
      <c r="A354" s="74"/>
      <c r="B354" s="74"/>
      <c r="C354" s="74"/>
      <c r="D354" s="74"/>
      <c r="E354" s="74"/>
    </row>
    <row r="355">
      <c r="A355" s="74"/>
      <c r="B355" s="74"/>
      <c r="C355" s="74"/>
      <c r="D355" s="74"/>
      <c r="E355" s="74"/>
    </row>
    <row r="356">
      <c r="A356" s="74"/>
      <c r="B356" s="74"/>
      <c r="C356" s="74"/>
      <c r="D356" s="74"/>
      <c r="E356" s="74"/>
    </row>
    <row r="357">
      <c r="A357" s="74"/>
      <c r="B357" s="74"/>
      <c r="C357" s="74"/>
      <c r="D357" s="74"/>
      <c r="E357" s="74"/>
    </row>
    <row r="358">
      <c r="A358" s="74"/>
      <c r="B358" s="74"/>
      <c r="C358" s="74"/>
      <c r="D358" s="74"/>
      <c r="E358" s="74"/>
    </row>
    <row r="359">
      <c r="A359" s="74"/>
      <c r="B359" s="74"/>
      <c r="C359" s="74"/>
      <c r="D359" s="74"/>
      <c r="E359" s="74"/>
    </row>
    <row r="360">
      <c r="A360" s="74"/>
      <c r="B360" s="74"/>
      <c r="C360" s="74"/>
      <c r="D360" s="74"/>
      <c r="E360" s="74"/>
    </row>
    <row r="361">
      <c r="A361" s="74"/>
      <c r="B361" s="74"/>
      <c r="C361" s="74"/>
      <c r="D361" s="74"/>
      <c r="E361" s="74"/>
    </row>
    <row r="362">
      <c r="A362" s="74"/>
      <c r="B362" s="74"/>
      <c r="C362" s="74"/>
      <c r="D362" s="74"/>
      <c r="E362" s="74"/>
    </row>
    <row r="363">
      <c r="A363" s="74"/>
      <c r="B363" s="74"/>
      <c r="C363" s="74"/>
      <c r="D363" s="74"/>
      <c r="E363" s="74"/>
    </row>
    <row r="364">
      <c r="A364" s="74"/>
      <c r="B364" s="74"/>
      <c r="C364" s="74"/>
      <c r="D364" s="74"/>
      <c r="E364" s="74"/>
    </row>
    <row r="365">
      <c r="A365" s="74"/>
      <c r="B365" s="74"/>
      <c r="C365" s="74"/>
      <c r="D365" s="74"/>
      <c r="E365" s="74"/>
    </row>
    <row r="366">
      <c r="A366" s="74"/>
      <c r="B366" s="74"/>
      <c r="C366" s="74"/>
      <c r="D366" s="74"/>
      <c r="E366" s="74"/>
    </row>
    <row r="367">
      <c r="A367" s="74"/>
      <c r="B367" s="74"/>
      <c r="C367" s="74"/>
      <c r="D367" s="74"/>
      <c r="E367" s="74"/>
    </row>
    <row r="368">
      <c r="A368" s="74"/>
      <c r="B368" s="74"/>
      <c r="C368" s="74"/>
      <c r="D368" s="74"/>
      <c r="E368" s="74"/>
    </row>
    <row r="369">
      <c r="A369" s="74"/>
      <c r="B369" s="74"/>
      <c r="C369" s="74"/>
      <c r="D369" s="74"/>
      <c r="E369" s="74"/>
    </row>
    <row r="370">
      <c r="A370" s="74"/>
      <c r="B370" s="74"/>
      <c r="C370" s="74"/>
      <c r="D370" s="74"/>
      <c r="E370" s="74"/>
    </row>
    <row r="371">
      <c r="A371" s="74"/>
      <c r="B371" s="74"/>
      <c r="C371" s="74"/>
      <c r="D371" s="74"/>
      <c r="E371" s="74"/>
    </row>
    <row r="372">
      <c r="A372" s="74"/>
      <c r="B372" s="74"/>
      <c r="C372" s="74"/>
      <c r="D372" s="74"/>
      <c r="E372" s="74"/>
    </row>
    <row r="373">
      <c r="A373" s="74"/>
      <c r="B373" s="74"/>
      <c r="C373" s="74"/>
      <c r="D373" s="74"/>
      <c r="E373" s="74"/>
    </row>
    <row r="374">
      <c r="A374" s="74"/>
      <c r="B374" s="74"/>
      <c r="C374" s="74"/>
      <c r="D374" s="74"/>
      <c r="E374" s="74"/>
    </row>
    <row r="375">
      <c r="A375" s="74"/>
      <c r="B375" s="74"/>
      <c r="C375" s="74"/>
      <c r="D375" s="74"/>
      <c r="E375" s="74"/>
    </row>
    <row r="376">
      <c r="A376" s="74"/>
      <c r="B376" s="74"/>
      <c r="C376" s="74"/>
      <c r="D376" s="74"/>
      <c r="E376" s="74"/>
    </row>
    <row r="377">
      <c r="A377" s="74"/>
      <c r="B377" s="74"/>
      <c r="C377" s="74"/>
      <c r="D377" s="74"/>
      <c r="E377" s="74"/>
    </row>
    <row r="378">
      <c r="A378" s="74"/>
      <c r="B378" s="74"/>
      <c r="C378" s="74"/>
      <c r="D378" s="74"/>
      <c r="E378" s="74"/>
    </row>
    <row r="379">
      <c r="A379" s="74"/>
      <c r="B379" s="74"/>
      <c r="C379" s="74"/>
      <c r="D379" s="74"/>
      <c r="E379" s="74"/>
    </row>
    <row r="380">
      <c r="A380" s="74"/>
      <c r="B380" s="74"/>
      <c r="C380" s="74"/>
      <c r="D380" s="74"/>
      <c r="E380" s="74"/>
    </row>
    <row r="381">
      <c r="A381" s="74"/>
      <c r="B381" s="74"/>
      <c r="C381" s="74"/>
      <c r="D381" s="74"/>
      <c r="E381" s="74"/>
    </row>
    <row r="382">
      <c r="A382" s="74"/>
      <c r="B382" s="74"/>
      <c r="C382" s="74"/>
      <c r="D382" s="74"/>
      <c r="E382" s="74"/>
    </row>
    <row r="383">
      <c r="A383" s="74"/>
      <c r="B383" s="74"/>
      <c r="C383" s="74"/>
      <c r="D383" s="74"/>
      <c r="E383" s="74"/>
    </row>
    <row r="384">
      <c r="A384" s="74"/>
      <c r="B384" s="74"/>
      <c r="C384" s="74"/>
      <c r="D384" s="74"/>
      <c r="E384" s="74"/>
    </row>
    <row r="385">
      <c r="A385" s="74"/>
      <c r="B385" s="74"/>
      <c r="C385" s="74"/>
      <c r="D385" s="74"/>
      <c r="E385" s="74"/>
    </row>
    <row r="386">
      <c r="A386" s="74"/>
      <c r="B386" s="74"/>
      <c r="C386" s="74"/>
      <c r="D386" s="74"/>
      <c r="E386" s="74"/>
    </row>
    <row r="387">
      <c r="A387" s="74"/>
      <c r="B387" s="74"/>
      <c r="C387" s="74"/>
      <c r="D387" s="74"/>
      <c r="E387" s="74"/>
    </row>
    <row r="388">
      <c r="A388" s="74"/>
      <c r="B388" s="74"/>
      <c r="C388" s="74"/>
      <c r="D388" s="74"/>
      <c r="E388" s="74"/>
    </row>
    <row r="389">
      <c r="A389" s="74"/>
      <c r="B389" s="74"/>
      <c r="C389" s="74"/>
      <c r="D389" s="74"/>
      <c r="E389" s="74"/>
    </row>
    <row r="390">
      <c r="A390" s="74"/>
      <c r="B390" s="74"/>
      <c r="C390" s="74"/>
      <c r="D390" s="74"/>
      <c r="E390" s="74"/>
    </row>
    <row r="391">
      <c r="A391" s="74"/>
      <c r="B391" s="74"/>
      <c r="C391" s="74"/>
      <c r="D391" s="74"/>
      <c r="E391" s="74"/>
    </row>
    <row r="392">
      <c r="A392" s="74"/>
      <c r="B392" s="74"/>
      <c r="C392" s="74"/>
      <c r="D392" s="74"/>
      <c r="E392" s="74"/>
    </row>
    <row r="393">
      <c r="A393" s="74"/>
      <c r="B393" s="74"/>
      <c r="C393" s="74"/>
      <c r="D393" s="74"/>
      <c r="E393" s="74"/>
    </row>
    <row r="394">
      <c r="A394" s="74"/>
      <c r="B394" s="74"/>
      <c r="C394" s="74"/>
      <c r="D394" s="74"/>
      <c r="E394" s="74"/>
    </row>
    <row r="395">
      <c r="A395" s="74"/>
      <c r="B395" s="74"/>
      <c r="C395" s="74"/>
      <c r="D395" s="74"/>
      <c r="E395" s="74"/>
    </row>
    <row r="396">
      <c r="A396" s="74"/>
      <c r="B396" s="74"/>
      <c r="C396" s="74"/>
      <c r="D396" s="74"/>
      <c r="E396" s="74"/>
    </row>
    <row r="397">
      <c r="A397" s="74"/>
      <c r="B397" s="74"/>
      <c r="C397" s="74"/>
      <c r="D397" s="74"/>
      <c r="E397" s="74"/>
    </row>
    <row r="398">
      <c r="A398" s="74"/>
      <c r="B398" s="74"/>
      <c r="C398" s="74"/>
      <c r="D398" s="74"/>
      <c r="E398" s="74"/>
    </row>
    <row r="399">
      <c r="A399" s="74"/>
      <c r="B399" s="74"/>
      <c r="C399" s="74"/>
      <c r="D399" s="74"/>
      <c r="E399" s="74"/>
    </row>
    <row r="400">
      <c r="A400" s="74"/>
      <c r="B400" s="74"/>
      <c r="C400" s="74"/>
      <c r="D400" s="74"/>
      <c r="E400" s="74"/>
    </row>
    <row r="401">
      <c r="A401" s="74"/>
      <c r="B401" s="74"/>
      <c r="C401" s="74"/>
      <c r="D401" s="74"/>
      <c r="E401" s="74"/>
    </row>
    <row r="402">
      <c r="A402" s="74"/>
      <c r="B402" s="74"/>
      <c r="C402" s="74"/>
      <c r="D402" s="74"/>
      <c r="E402" s="74"/>
    </row>
    <row r="403">
      <c r="A403" s="74"/>
      <c r="B403" s="74"/>
      <c r="C403" s="74"/>
      <c r="D403" s="74"/>
      <c r="E403" s="74"/>
    </row>
    <row r="404">
      <c r="A404" s="74"/>
      <c r="B404" s="74"/>
      <c r="C404" s="74"/>
      <c r="D404" s="74"/>
      <c r="E404" s="74"/>
    </row>
    <row r="405">
      <c r="A405" s="74"/>
      <c r="B405" s="74"/>
      <c r="C405" s="74"/>
      <c r="D405" s="74"/>
      <c r="E405" s="74"/>
    </row>
    <row r="406">
      <c r="A406" s="74"/>
      <c r="B406" s="74"/>
      <c r="C406" s="74"/>
      <c r="D406" s="74"/>
      <c r="E406" s="74"/>
    </row>
    <row r="407">
      <c r="A407" s="74"/>
      <c r="B407" s="74"/>
      <c r="C407" s="74"/>
      <c r="D407" s="74"/>
      <c r="E407" s="74"/>
    </row>
    <row r="408">
      <c r="A408" s="74"/>
      <c r="B408" s="74"/>
      <c r="C408" s="74"/>
      <c r="D408" s="74"/>
      <c r="E408" s="74"/>
    </row>
    <row r="409">
      <c r="A409" s="74"/>
      <c r="B409" s="74"/>
      <c r="C409" s="74"/>
      <c r="D409" s="74"/>
      <c r="E409" s="74"/>
    </row>
    <row r="410">
      <c r="A410" s="74"/>
      <c r="B410" s="74"/>
      <c r="C410" s="74"/>
      <c r="D410" s="74"/>
      <c r="E410" s="74"/>
    </row>
    <row r="411">
      <c r="A411" s="74"/>
      <c r="B411" s="74"/>
      <c r="C411" s="74"/>
      <c r="D411" s="74"/>
      <c r="E411" s="74"/>
    </row>
    <row r="412">
      <c r="A412" s="74"/>
      <c r="B412" s="74"/>
      <c r="C412" s="74"/>
      <c r="D412" s="74"/>
      <c r="E412" s="74"/>
    </row>
    <row r="413">
      <c r="A413" s="74"/>
      <c r="B413" s="74"/>
      <c r="C413" s="74"/>
      <c r="D413" s="74"/>
      <c r="E413" s="74"/>
    </row>
    <row r="414">
      <c r="A414" s="74"/>
      <c r="B414" s="74"/>
      <c r="C414" s="74"/>
      <c r="D414" s="74"/>
      <c r="E414" s="74"/>
    </row>
    <row r="415">
      <c r="A415" s="74"/>
      <c r="B415" s="74"/>
      <c r="C415" s="74"/>
      <c r="D415" s="74"/>
      <c r="E415" s="74"/>
    </row>
    <row r="416">
      <c r="A416" s="74"/>
      <c r="B416" s="74"/>
      <c r="C416" s="74"/>
      <c r="D416" s="74"/>
      <c r="E416" s="74"/>
    </row>
    <row r="417">
      <c r="A417" s="74"/>
      <c r="B417" s="74"/>
      <c r="C417" s="74"/>
      <c r="D417" s="74"/>
      <c r="E417" s="74"/>
    </row>
    <row r="418">
      <c r="A418" s="74"/>
      <c r="B418" s="74"/>
      <c r="C418" s="74"/>
      <c r="D418" s="74"/>
      <c r="E418" s="74"/>
    </row>
    <row r="419">
      <c r="A419" s="74"/>
      <c r="B419" s="74"/>
      <c r="C419" s="74"/>
      <c r="D419" s="74"/>
      <c r="E419" s="74"/>
    </row>
    <row r="420">
      <c r="A420" s="74"/>
      <c r="B420" s="74"/>
      <c r="C420" s="74"/>
      <c r="D420" s="74"/>
      <c r="E420" s="74"/>
    </row>
    <row r="421">
      <c r="A421" s="74"/>
      <c r="B421" s="74"/>
      <c r="C421" s="74"/>
      <c r="D421" s="74"/>
      <c r="E421" s="74"/>
    </row>
    <row r="422">
      <c r="A422" s="74"/>
      <c r="B422" s="74"/>
      <c r="C422" s="74"/>
      <c r="D422" s="74"/>
      <c r="E422" s="74"/>
    </row>
    <row r="423">
      <c r="A423" s="74"/>
      <c r="B423" s="74"/>
      <c r="C423" s="74"/>
      <c r="D423" s="74"/>
      <c r="E423" s="74"/>
    </row>
    <row r="424">
      <c r="A424" s="74"/>
      <c r="B424" s="74"/>
      <c r="C424" s="74"/>
      <c r="D424" s="74"/>
      <c r="E424" s="74"/>
    </row>
    <row r="425">
      <c r="A425" s="74"/>
      <c r="B425" s="74"/>
      <c r="C425" s="74"/>
      <c r="D425" s="74"/>
      <c r="E425" s="74"/>
    </row>
    <row r="426">
      <c r="A426" s="74"/>
      <c r="B426" s="74"/>
      <c r="C426" s="74"/>
      <c r="D426" s="74"/>
      <c r="E426" s="74"/>
    </row>
    <row r="427">
      <c r="A427" s="74"/>
      <c r="B427" s="74"/>
      <c r="C427" s="74"/>
      <c r="D427" s="74"/>
      <c r="E427" s="74"/>
    </row>
    <row r="428">
      <c r="A428" s="74"/>
      <c r="B428" s="74"/>
      <c r="C428" s="74"/>
      <c r="D428" s="74"/>
      <c r="E428" s="74"/>
    </row>
    <row r="429">
      <c r="A429" s="74"/>
      <c r="B429" s="74"/>
      <c r="C429" s="74"/>
      <c r="D429" s="74"/>
      <c r="E429" s="74"/>
    </row>
    <row r="430">
      <c r="A430" s="74"/>
      <c r="B430" s="74"/>
      <c r="C430" s="74"/>
      <c r="D430" s="74"/>
      <c r="E430" s="74"/>
    </row>
    <row r="431">
      <c r="A431" s="74"/>
      <c r="B431" s="74"/>
      <c r="C431" s="74"/>
      <c r="D431" s="74"/>
      <c r="E431" s="74"/>
    </row>
    <row r="432">
      <c r="A432" s="74"/>
      <c r="B432" s="74"/>
      <c r="C432" s="74"/>
      <c r="D432" s="74"/>
      <c r="E432" s="74"/>
    </row>
    <row r="433">
      <c r="A433" s="74"/>
      <c r="B433" s="74"/>
      <c r="C433" s="74"/>
      <c r="D433" s="74"/>
      <c r="E433" s="74"/>
    </row>
    <row r="434">
      <c r="A434" s="74"/>
      <c r="B434" s="74"/>
      <c r="C434" s="74"/>
      <c r="D434" s="74"/>
      <c r="E434" s="74"/>
    </row>
    <row r="435">
      <c r="A435" s="74"/>
      <c r="B435" s="74"/>
      <c r="C435" s="74"/>
      <c r="D435" s="74"/>
      <c r="E435" s="74"/>
    </row>
    <row r="436">
      <c r="A436" s="74"/>
      <c r="B436" s="74"/>
      <c r="C436" s="74"/>
      <c r="D436" s="74"/>
      <c r="E436" s="74"/>
    </row>
    <row r="437">
      <c r="A437" s="74"/>
      <c r="B437" s="74"/>
      <c r="C437" s="74"/>
      <c r="D437" s="74"/>
      <c r="E437" s="74"/>
    </row>
    <row r="438">
      <c r="A438" s="74"/>
      <c r="B438" s="74"/>
      <c r="C438" s="74"/>
      <c r="D438" s="74"/>
      <c r="E438" s="74"/>
    </row>
    <row r="439">
      <c r="A439" s="74"/>
      <c r="B439" s="74"/>
      <c r="C439" s="74"/>
      <c r="D439" s="74"/>
      <c r="E439" s="74"/>
    </row>
    <row r="440">
      <c r="A440" s="74"/>
      <c r="B440" s="74"/>
      <c r="C440" s="74"/>
      <c r="D440" s="74"/>
      <c r="E440" s="74"/>
    </row>
    <row r="441">
      <c r="A441" s="74"/>
      <c r="B441" s="74"/>
      <c r="C441" s="74"/>
      <c r="D441" s="74"/>
      <c r="E441" s="74"/>
    </row>
    <row r="442">
      <c r="A442" s="74"/>
      <c r="B442" s="74"/>
      <c r="C442" s="74"/>
      <c r="D442" s="74"/>
      <c r="E442" s="74"/>
    </row>
    <row r="443">
      <c r="A443" s="74"/>
      <c r="B443" s="74"/>
      <c r="C443" s="74"/>
      <c r="D443" s="74"/>
      <c r="E443" s="74"/>
    </row>
    <row r="444">
      <c r="A444" s="74"/>
      <c r="B444" s="74"/>
      <c r="C444" s="74"/>
      <c r="D444" s="74"/>
      <c r="E444" s="74"/>
    </row>
    <row r="445">
      <c r="A445" s="74"/>
      <c r="B445" s="74"/>
      <c r="C445" s="74"/>
      <c r="D445" s="74"/>
      <c r="E445" s="74"/>
    </row>
    <row r="446">
      <c r="A446" s="74"/>
      <c r="B446" s="74"/>
      <c r="C446" s="74"/>
      <c r="D446" s="74"/>
      <c r="E446" s="74"/>
    </row>
    <row r="447">
      <c r="A447" s="74"/>
      <c r="B447" s="74"/>
      <c r="C447" s="74"/>
      <c r="D447" s="74"/>
      <c r="E447" s="74"/>
    </row>
    <row r="448">
      <c r="A448" s="74"/>
      <c r="B448" s="74"/>
      <c r="C448" s="74"/>
      <c r="D448" s="74"/>
      <c r="E448" s="74"/>
    </row>
    <row r="449">
      <c r="A449" s="74"/>
      <c r="B449" s="74"/>
      <c r="C449" s="74"/>
      <c r="D449" s="74"/>
      <c r="E449" s="74"/>
    </row>
    <row r="450">
      <c r="A450" s="74"/>
      <c r="B450" s="74"/>
      <c r="C450" s="74"/>
      <c r="D450" s="74"/>
      <c r="E450" s="74"/>
    </row>
    <row r="451">
      <c r="A451" s="74"/>
      <c r="B451" s="74"/>
      <c r="C451" s="74"/>
      <c r="D451" s="74"/>
      <c r="E451" s="74"/>
    </row>
    <row r="452">
      <c r="A452" s="74"/>
      <c r="B452" s="74"/>
      <c r="C452" s="74"/>
      <c r="D452" s="74"/>
      <c r="E452" s="74"/>
    </row>
    <row r="453">
      <c r="A453" s="74"/>
      <c r="B453" s="74"/>
      <c r="C453" s="74"/>
      <c r="D453" s="74"/>
      <c r="E453" s="74"/>
    </row>
    <row r="454">
      <c r="A454" s="74"/>
      <c r="B454" s="74"/>
      <c r="C454" s="74"/>
      <c r="D454" s="74"/>
      <c r="E454" s="74"/>
    </row>
    <row r="455">
      <c r="A455" s="74"/>
      <c r="B455" s="74"/>
      <c r="C455" s="74"/>
      <c r="D455" s="74"/>
      <c r="E455" s="74"/>
    </row>
    <row r="456">
      <c r="A456" s="74"/>
      <c r="B456" s="74"/>
      <c r="C456" s="74"/>
      <c r="D456" s="74"/>
      <c r="E456" s="74"/>
    </row>
    <row r="457">
      <c r="A457" s="74"/>
      <c r="B457" s="74"/>
      <c r="C457" s="74"/>
      <c r="D457" s="74"/>
      <c r="E457" s="74"/>
    </row>
    <row r="458">
      <c r="A458" s="74"/>
      <c r="B458" s="74"/>
      <c r="C458" s="74"/>
      <c r="D458" s="74"/>
      <c r="E458" s="74"/>
    </row>
    <row r="459">
      <c r="A459" s="74"/>
      <c r="B459" s="74"/>
      <c r="C459" s="74"/>
      <c r="D459" s="74"/>
      <c r="E459" s="74"/>
    </row>
    <row r="460">
      <c r="A460" s="74"/>
      <c r="B460" s="74"/>
      <c r="C460" s="74"/>
      <c r="D460" s="74"/>
      <c r="E460" s="74"/>
    </row>
    <row r="461">
      <c r="A461" s="74"/>
      <c r="B461" s="74"/>
      <c r="C461" s="74"/>
      <c r="D461" s="74"/>
      <c r="E461" s="74"/>
    </row>
    <row r="462">
      <c r="A462" s="74"/>
      <c r="B462" s="74"/>
      <c r="C462" s="74"/>
      <c r="D462" s="74"/>
      <c r="E462" s="74"/>
    </row>
    <row r="463">
      <c r="A463" s="74"/>
      <c r="B463" s="74"/>
      <c r="C463" s="74"/>
      <c r="D463" s="74"/>
      <c r="E463" s="74"/>
    </row>
    <row r="464">
      <c r="A464" s="74"/>
      <c r="B464" s="74"/>
      <c r="C464" s="74"/>
      <c r="D464" s="74"/>
      <c r="E464" s="74"/>
    </row>
    <row r="465">
      <c r="A465" s="74"/>
      <c r="B465" s="74"/>
      <c r="C465" s="74"/>
      <c r="D465" s="74"/>
      <c r="E465" s="74"/>
    </row>
    <row r="466">
      <c r="A466" s="74"/>
      <c r="B466" s="74"/>
      <c r="C466" s="74"/>
      <c r="D466" s="74"/>
      <c r="E466" s="74"/>
    </row>
    <row r="467">
      <c r="A467" s="74"/>
      <c r="B467" s="74"/>
      <c r="C467" s="74"/>
      <c r="D467" s="74"/>
      <c r="E467" s="74"/>
    </row>
    <row r="468">
      <c r="A468" s="74"/>
      <c r="B468" s="74"/>
      <c r="C468" s="74"/>
      <c r="D468" s="74"/>
      <c r="E468" s="74"/>
    </row>
    <row r="469">
      <c r="A469" s="74"/>
      <c r="B469" s="74"/>
      <c r="C469" s="74"/>
      <c r="D469" s="74"/>
      <c r="E469" s="74"/>
    </row>
    <row r="470">
      <c r="A470" s="74"/>
      <c r="B470" s="74"/>
      <c r="C470" s="74"/>
      <c r="D470" s="74"/>
      <c r="E470" s="74"/>
    </row>
    <row r="471">
      <c r="A471" s="74"/>
      <c r="B471" s="74"/>
      <c r="C471" s="74"/>
      <c r="D471" s="74"/>
      <c r="E471" s="74"/>
    </row>
    <row r="472">
      <c r="A472" s="74"/>
      <c r="B472" s="74"/>
      <c r="C472" s="74"/>
      <c r="D472" s="74"/>
      <c r="E472" s="74"/>
    </row>
    <row r="473">
      <c r="A473" s="74"/>
      <c r="B473" s="74"/>
      <c r="C473" s="74"/>
      <c r="D473" s="74"/>
      <c r="E473" s="74"/>
    </row>
    <row r="474">
      <c r="A474" s="74"/>
      <c r="B474" s="74"/>
      <c r="C474" s="74"/>
      <c r="D474" s="74"/>
      <c r="E474" s="74"/>
    </row>
    <row r="475">
      <c r="A475" s="74"/>
      <c r="B475" s="74"/>
      <c r="C475" s="74"/>
      <c r="D475" s="74"/>
      <c r="E475" s="74"/>
    </row>
    <row r="476">
      <c r="A476" s="74"/>
      <c r="B476" s="74"/>
      <c r="C476" s="74"/>
      <c r="D476" s="74"/>
      <c r="E476" s="74"/>
    </row>
    <row r="477">
      <c r="A477" s="74"/>
      <c r="B477" s="74"/>
      <c r="C477" s="74"/>
      <c r="D477" s="74"/>
      <c r="E477" s="74"/>
    </row>
    <row r="478">
      <c r="A478" s="74"/>
      <c r="B478" s="74"/>
      <c r="C478" s="74"/>
      <c r="D478" s="74"/>
      <c r="E478" s="74"/>
    </row>
    <row r="479">
      <c r="A479" s="74"/>
      <c r="B479" s="74"/>
      <c r="C479" s="74"/>
      <c r="D479" s="74"/>
      <c r="E479" s="74"/>
    </row>
    <row r="480">
      <c r="A480" s="74"/>
      <c r="B480" s="74"/>
      <c r="C480" s="74"/>
      <c r="D480" s="74"/>
      <c r="E480" s="74"/>
    </row>
    <row r="481">
      <c r="A481" s="74"/>
      <c r="B481" s="74"/>
      <c r="C481" s="74"/>
      <c r="D481" s="74"/>
      <c r="E481" s="74"/>
    </row>
    <row r="482">
      <c r="A482" s="74"/>
      <c r="B482" s="74"/>
      <c r="C482" s="74"/>
      <c r="D482" s="74"/>
      <c r="E482" s="74"/>
    </row>
    <row r="483">
      <c r="A483" s="74"/>
      <c r="B483" s="74"/>
      <c r="C483" s="74"/>
      <c r="D483" s="74"/>
      <c r="E483" s="74"/>
    </row>
    <row r="484">
      <c r="A484" s="74"/>
      <c r="B484" s="74"/>
      <c r="C484" s="74"/>
      <c r="D484" s="74"/>
      <c r="E484" s="74"/>
    </row>
    <row r="485">
      <c r="A485" s="74"/>
      <c r="B485" s="74"/>
      <c r="C485" s="74"/>
      <c r="D485" s="74"/>
      <c r="E485" s="74"/>
    </row>
    <row r="486">
      <c r="A486" s="74"/>
      <c r="B486" s="74"/>
      <c r="C486" s="74"/>
      <c r="D486" s="74"/>
      <c r="E486" s="74"/>
    </row>
    <row r="487">
      <c r="A487" s="74"/>
      <c r="B487" s="74"/>
      <c r="C487" s="74"/>
      <c r="D487" s="74"/>
      <c r="E487" s="74"/>
    </row>
    <row r="488">
      <c r="A488" s="74"/>
      <c r="B488" s="74"/>
      <c r="C488" s="74"/>
      <c r="D488" s="74"/>
      <c r="E488" s="74"/>
    </row>
    <row r="489">
      <c r="A489" s="74"/>
      <c r="B489" s="74"/>
      <c r="C489" s="74"/>
      <c r="D489" s="74"/>
      <c r="E489" s="74"/>
    </row>
    <row r="490">
      <c r="A490" s="74"/>
      <c r="B490" s="74"/>
      <c r="C490" s="74"/>
      <c r="D490" s="74"/>
      <c r="E490" s="74"/>
    </row>
    <row r="491">
      <c r="A491" s="74"/>
      <c r="B491" s="74"/>
      <c r="C491" s="74"/>
      <c r="D491" s="74"/>
      <c r="E491" s="74"/>
    </row>
    <row r="492">
      <c r="A492" s="74"/>
      <c r="B492" s="74"/>
      <c r="C492" s="74"/>
      <c r="D492" s="74"/>
      <c r="E492" s="74"/>
    </row>
    <row r="493">
      <c r="A493" s="74"/>
      <c r="B493" s="74"/>
      <c r="C493" s="74"/>
      <c r="D493" s="74"/>
      <c r="E493" s="74"/>
    </row>
    <row r="494">
      <c r="A494" s="74"/>
      <c r="B494" s="74"/>
      <c r="C494" s="74"/>
      <c r="D494" s="74"/>
      <c r="E494" s="74"/>
    </row>
    <row r="495">
      <c r="A495" s="74"/>
      <c r="B495" s="74"/>
      <c r="C495" s="74"/>
      <c r="D495" s="74"/>
      <c r="E495" s="74"/>
    </row>
    <row r="496">
      <c r="A496" s="74"/>
      <c r="B496" s="74"/>
      <c r="C496" s="74"/>
      <c r="D496" s="74"/>
      <c r="E496" s="74"/>
    </row>
    <row r="497">
      <c r="A497" s="74"/>
      <c r="B497" s="74"/>
      <c r="C497" s="74"/>
      <c r="D497" s="74"/>
      <c r="E497" s="74"/>
    </row>
    <row r="498">
      <c r="A498" s="74"/>
      <c r="B498" s="74"/>
      <c r="C498" s="74"/>
      <c r="D498" s="74"/>
      <c r="E498" s="74"/>
    </row>
    <row r="499">
      <c r="A499" s="74"/>
      <c r="B499" s="74"/>
      <c r="C499" s="74"/>
      <c r="D499" s="74"/>
      <c r="E499" s="74"/>
    </row>
    <row r="500">
      <c r="A500" s="74"/>
      <c r="B500" s="74"/>
      <c r="C500" s="74"/>
      <c r="D500" s="74"/>
      <c r="E500" s="74"/>
    </row>
    <row r="501">
      <c r="A501" s="74"/>
      <c r="B501" s="74"/>
      <c r="C501" s="74"/>
      <c r="D501" s="74"/>
      <c r="E501" s="74"/>
    </row>
    <row r="502">
      <c r="A502" s="74"/>
      <c r="B502" s="74"/>
      <c r="C502" s="74"/>
      <c r="D502" s="74"/>
      <c r="E502" s="74"/>
    </row>
    <row r="503">
      <c r="A503" s="74"/>
      <c r="B503" s="74"/>
      <c r="C503" s="74"/>
      <c r="D503" s="74"/>
      <c r="E503" s="74"/>
    </row>
    <row r="504">
      <c r="A504" s="74"/>
      <c r="B504" s="74"/>
      <c r="C504" s="74"/>
      <c r="D504" s="74"/>
      <c r="E504" s="74"/>
    </row>
    <row r="505">
      <c r="A505" s="74"/>
      <c r="B505" s="74"/>
      <c r="C505" s="74"/>
      <c r="D505" s="74"/>
      <c r="E505" s="74"/>
    </row>
    <row r="506">
      <c r="A506" s="74"/>
      <c r="B506" s="74"/>
      <c r="C506" s="74"/>
      <c r="D506" s="74"/>
      <c r="E506" s="74"/>
    </row>
    <row r="507">
      <c r="A507" s="74"/>
      <c r="B507" s="74"/>
      <c r="C507" s="74"/>
      <c r="D507" s="74"/>
      <c r="E507" s="74"/>
    </row>
    <row r="508">
      <c r="A508" s="74"/>
      <c r="B508" s="74"/>
      <c r="C508" s="74"/>
      <c r="D508" s="74"/>
      <c r="E508" s="74"/>
    </row>
    <row r="509">
      <c r="A509" s="74"/>
      <c r="B509" s="74"/>
      <c r="C509" s="74"/>
      <c r="D509" s="74"/>
      <c r="E509" s="74"/>
    </row>
    <row r="510">
      <c r="A510" s="74"/>
      <c r="B510" s="74"/>
      <c r="C510" s="74"/>
      <c r="D510" s="74"/>
      <c r="E510" s="74"/>
    </row>
    <row r="511">
      <c r="A511" s="74"/>
      <c r="B511" s="74"/>
      <c r="C511" s="74"/>
      <c r="D511" s="74"/>
      <c r="E511" s="74"/>
    </row>
    <row r="512">
      <c r="A512" s="74"/>
      <c r="B512" s="74"/>
      <c r="C512" s="74"/>
      <c r="D512" s="74"/>
      <c r="E512" s="74"/>
    </row>
    <row r="513">
      <c r="A513" s="74"/>
      <c r="B513" s="74"/>
      <c r="C513" s="74"/>
      <c r="D513" s="74"/>
      <c r="E513" s="74"/>
    </row>
    <row r="514">
      <c r="A514" s="74"/>
      <c r="B514" s="74"/>
      <c r="C514" s="74"/>
      <c r="D514" s="74"/>
      <c r="E514" s="74"/>
    </row>
    <row r="515">
      <c r="A515" s="74"/>
      <c r="B515" s="74"/>
      <c r="C515" s="74"/>
      <c r="D515" s="74"/>
      <c r="E515" s="74"/>
    </row>
    <row r="516">
      <c r="A516" s="74"/>
      <c r="B516" s="74"/>
      <c r="C516" s="74"/>
      <c r="D516" s="74"/>
      <c r="E516" s="74"/>
    </row>
    <row r="517">
      <c r="A517" s="74"/>
      <c r="B517" s="74"/>
      <c r="C517" s="74"/>
      <c r="D517" s="74"/>
      <c r="E517" s="74"/>
    </row>
    <row r="518">
      <c r="A518" s="74"/>
      <c r="B518" s="74"/>
      <c r="C518" s="74"/>
      <c r="D518" s="74"/>
      <c r="E518" s="74"/>
    </row>
    <row r="519">
      <c r="A519" s="74"/>
      <c r="B519" s="74"/>
      <c r="C519" s="74"/>
      <c r="D519" s="74"/>
      <c r="E519" s="74"/>
    </row>
    <row r="520">
      <c r="A520" s="74"/>
      <c r="B520" s="74"/>
      <c r="C520" s="74"/>
      <c r="D520" s="74"/>
      <c r="E520" s="74"/>
    </row>
    <row r="521">
      <c r="A521" s="74"/>
      <c r="B521" s="74"/>
      <c r="C521" s="74"/>
      <c r="D521" s="74"/>
      <c r="E521" s="74"/>
    </row>
    <row r="522">
      <c r="A522" s="74"/>
      <c r="B522" s="74"/>
      <c r="C522" s="74"/>
      <c r="D522" s="74"/>
      <c r="E522" s="74"/>
    </row>
    <row r="523">
      <c r="A523" s="74"/>
      <c r="B523" s="74"/>
      <c r="C523" s="74"/>
      <c r="D523" s="74"/>
      <c r="E523" s="74"/>
    </row>
    <row r="524">
      <c r="A524" s="74"/>
      <c r="B524" s="74"/>
      <c r="C524" s="74"/>
      <c r="D524" s="74"/>
      <c r="E524" s="74"/>
    </row>
    <row r="525">
      <c r="A525" s="74"/>
      <c r="B525" s="74"/>
      <c r="C525" s="74"/>
      <c r="D525" s="74"/>
      <c r="E525" s="74"/>
    </row>
    <row r="526">
      <c r="A526" s="74"/>
      <c r="B526" s="74"/>
      <c r="C526" s="74"/>
      <c r="D526" s="74"/>
      <c r="E526" s="74"/>
    </row>
    <row r="527">
      <c r="A527" s="74"/>
      <c r="B527" s="74"/>
      <c r="C527" s="74"/>
      <c r="D527" s="74"/>
      <c r="E527" s="74"/>
    </row>
    <row r="528">
      <c r="A528" s="74"/>
      <c r="B528" s="74"/>
      <c r="C528" s="74"/>
      <c r="D528" s="74"/>
      <c r="E528" s="74"/>
    </row>
    <row r="529">
      <c r="A529" s="74"/>
      <c r="B529" s="74"/>
      <c r="C529" s="74"/>
      <c r="D529" s="74"/>
      <c r="E529" s="74"/>
    </row>
    <row r="530">
      <c r="A530" s="74"/>
      <c r="B530" s="74"/>
      <c r="C530" s="74"/>
      <c r="D530" s="74"/>
      <c r="E530" s="74"/>
    </row>
    <row r="531">
      <c r="A531" s="74"/>
      <c r="B531" s="74"/>
      <c r="C531" s="74"/>
      <c r="D531" s="74"/>
      <c r="E531" s="74"/>
    </row>
    <row r="532">
      <c r="A532" s="74"/>
      <c r="B532" s="74"/>
      <c r="C532" s="74"/>
      <c r="D532" s="74"/>
      <c r="E532" s="74"/>
    </row>
    <row r="533">
      <c r="A533" s="74"/>
      <c r="B533" s="74"/>
      <c r="C533" s="74"/>
      <c r="D533" s="74"/>
      <c r="E533" s="74"/>
    </row>
    <row r="534">
      <c r="A534" s="74"/>
      <c r="B534" s="74"/>
      <c r="C534" s="74"/>
      <c r="D534" s="74"/>
      <c r="E534" s="74"/>
    </row>
    <row r="535">
      <c r="A535" s="74"/>
      <c r="B535" s="74"/>
      <c r="C535" s="74"/>
      <c r="D535" s="74"/>
      <c r="E535" s="74"/>
    </row>
    <row r="536">
      <c r="A536" s="74"/>
      <c r="B536" s="74"/>
      <c r="C536" s="74"/>
      <c r="D536" s="74"/>
      <c r="E536" s="74"/>
    </row>
    <row r="537">
      <c r="A537" s="74"/>
      <c r="B537" s="74"/>
      <c r="C537" s="74"/>
      <c r="D537" s="74"/>
      <c r="E537" s="74"/>
    </row>
    <row r="538">
      <c r="A538" s="74"/>
      <c r="B538" s="74"/>
      <c r="C538" s="74"/>
      <c r="D538" s="74"/>
      <c r="E538" s="74"/>
    </row>
    <row r="539">
      <c r="A539" s="74"/>
      <c r="B539" s="74"/>
      <c r="C539" s="74"/>
      <c r="D539" s="74"/>
      <c r="E539" s="74"/>
    </row>
    <row r="540">
      <c r="A540" s="74"/>
      <c r="B540" s="74"/>
      <c r="C540" s="74"/>
      <c r="D540" s="74"/>
      <c r="E540" s="74"/>
    </row>
    <row r="541">
      <c r="A541" s="74"/>
      <c r="B541" s="74"/>
      <c r="C541" s="74"/>
      <c r="D541" s="74"/>
      <c r="E541" s="74"/>
    </row>
    <row r="542">
      <c r="A542" s="74"/>
      <c r="B542" s="74"/>
      <c r="C542" s="74"/>
      <c r="D542" s="74"/>
      <c r="E542" s="74"/>
    </row>
    <row r="543">
      <c r="A543" s="74"/>
      <c r="B543" s="74"/>
      <c r="C543" s="74"/>
      <c r="D543" s="74"/>
      <c r="E543" s="74"/>
    </row>
    <row r="544">
      <c r="A544" s="74"/>
      <c r="B544" s="74"/>
      <c r="C544" s="74"/>
      <c r="D544" s="74"/>
      <c r="E544" s="74"/>
    </row>
    <row r="545">
      <c r="A545" s="74"/>
      <c r="B545" s="74"/>
      <c r="C545" s="74"/>
      <c r="D545" s="74"/>
      <c r="E545" s="74"/>
    </row>
    <row r="546">
      <c r="A546" s="74"/>
      <c r="B546" s="74"/>
      <c r="C546" s="74"/>
      <c r="D546" s="74"/>
      <c r="E546" s="74"/>
    </row>
    <row r="547">
      <c r="A547" s="74"/>
      <c r="B547" s="74"/>
      <c r="C547" s="74"/>
      <c r="D547" s="74"/>
      <c r="E547" s="74"/>
    </row>
    <row r="548">
      <c r="A548" s="74"/>
      <c r="B548" s="74"/>
      <c r="C548" s="74"/>
      <c r="D548" s="74"/>
      <c r="E548" s="74"/>
    </row>
    <row r="549">
      <c r="A549" s="74"/>
      <c r="B549" s="74"/>
      <c r="C549" s="74"/>
      <c r="D549" s="74"/>
      <c r="E549" s="74"/>
    </row>
    <row r="550">
      <c r="A550" s="74"/>
      <c r="B550" s="74"/>
      <c r="C550" s="74"/>
      <c r="D550" s="74"/>
      <c r="E550" s="74"/>
    </row>
    <row r="551">
      <c r="A551" s="74"/>
      <c r="B551" s="74"/>
      <c r="C551" s="74"/>
      <c r="D551" s="74"/>
      <c r="E551" s="74"/>
    </row>
    <row r="552">
      <c r="A552" s="74"/>
      <c r="B552" s="74"/>
      <c r="C552" s="74"/>
      <c r="D552" s="74"/>
      <c r="E552" s="74"/>
    </row>
    <row r="553">
      <c r="A553" s="74"/>
      <c r="B553" s="74"/>
      <c r="C553" s="74"/>
      <c r="D553" s="74"/>
      <c r="E553" s="74"/>
    </row>
    <row r="554">
      <c r="A554" s="74"/>
      <c r="B554" s="74"/>
      <c r="C554" s="74"/>
      <c r="D554" s="74"/>
      <c r="E554" s="74"/>
    </row>
    <row r="555">
      <c r="A555" s="74"/>
      <c r="B555" s="74"/>
      <c r="C555" s="74"/>
      <c r="D555" s="74"/>
      <c r="E555" s="74"/>
    </row>
    <row r="556">
      <c r="A556" s="74"/>
      <c r="B556" s="74"/>
      <c r="C556" s="74"/>
      <c r="D556" s="74"/>
      <c r="E556" s="74"/>
    </row>
    <row r="557">
      <c r="A557" s="74"/>
      <c r="B557" s="74"/>
      <c r="C557" s="74"/>
      <c r="D557" s="74"/>
      <c r="E557" s="74"/>
    </row>
    <row r="558">
      <c r="A558" s="74"/>
      <c r="B558" s="74"/>
      <c r="C558" s="74"/>
      <c r="D558" s="74"/>
      <c r="E558" s="74"/>
    </row>
    <row r="559">
      <c r="A559" s="74"/>
      <c r="B559" s="74"/>
      <c r="C559" s="74"/>
      <c r="D559" s="74"/>
      <c r="E559" s="74"/>
    </row>
    <row r="560">
      <c r="A560" s="74"/>
      <c r="B560" s="74"/>
      <c r="C560" s="74"/>
      <c r="D560" s="74"/>
      <c r="E560" s="74"/>
    </row>
    <row r="561">
      <c r="A561" s="74"/>
      <c r="B561" s="74"/>
      <c r="C561" s="74"/>
      <c r="D561" s="74"/>
      <c r="E561" s="74"/>
    </row>
    <row r="562">
      <c r="A562" s="74"/>
      <c r="B562" s="74"/>
      <c r="C562" s="74"/>
      <c r="D562" s="74"/>
      <c r="E562" s="74"/>
    </row>
    <row r="563">
      <c r="A563" s="74"/>
      <c r="B563" s="74"/>
      <c r="C563" s="74"/>
      <c r="D563" s="74"/>
      <c r="E563" s="74"/>
    </row>
    <row r="564">
      <c r="A564" s="74"/>
      <c r="B564" s="74"/>
      <c r="C564" s="74"/>
      <c r="D564" s="74"/>
      <c r="E564" s="74"/>
    </row>
    <row r="565">
      <c r="A565" s="74"/>
      <c r="B565" s="74"/>
      <c r="C565" s="74"/>
      <c r="D565" s="74"/>
      <c r="E565" s="74"/>
    </row>
    <row r="566">
      <c r="A566" s="74"/>
      <c r="B566" s="74"/>
      <c r="C566" s="74"/>
      <c r="D566" s="74"/>
      <c r="E566" s="74"/>
    </row>
    <row r="567">
      <c r="A567" s="74"/>
      <c r="B567" s="74"/>
      <c r="C567" s="74"/>
      <c r="D567" s="74"/>
      <c r="E567" s="74"/>
    </row>
    <row r="568">
      <c r="A568" s="74"/>
      <c r="B568" s="74"/>
      <c r="C568" s="74"/>
      <c r="D568" s="74"/>
      <c r="E568" s="74"/>
    </row>
    <row r="569">
      <c r="A569" s="74"/>
      <c r="B569" s="74"/>
      <c r="C569" s="74"/>
      <c r="D569" s="74"/>
      <c r="E569" s="74"/>
    </row>
    <row r="570">
      <c r="A570" s="74"/>
      <c r="B570" s="74"/>
      <c r="C570" s="74"/>
      <c r="D570" s="74"/>
      <c r="E570" s="74"/>
    </row>
    <row r="571">
      <c r="A571" s="74"/>
      <c r="B571" s="74"/>
      <c r="C571" s="74"/>
      <c r="D571" s="74"/>
      <c r="E571" s="74"/>
    </row>
    <row r="572">
      <c r="A572" s="74"/>
      <c r="B572" s="74"/>
      <c r="C572" s="74"/>
      <c r="D572" s="74"/>
      <c r="E572" s="74"/>
    </row>
    <row r="573">
      <c r="A573" s="74"/>
      <c r="B573" s="74"/>
      <c r="C573" s="74"/>
      <c r="D573" s="74"/>
      <c r="E573" s="74"/>
    </row>
    <row r="574">
      <c r="A574" s="74"/>
      <c r="B574" s="74"/>
      <c r="C574" s="74"/>
      <c r="D574" s="74"/>
      <c r="E574" s="74"/>
    </row>
    <row r="575">
      <c r="A575" s="74"/>
      <c r="B575" s="74"/>
      <c r="C575" s="74"/>
      <c r="D575" s="74"/>
      <c r="E575" s="74"/>
    </row>
    <row r="576">
      <c r="A576" s="74"/>
      <c r="B576" s="74"/>
      <c r="C576" s="74"/>
      <c r="D576" s="74"/>
      <c r="E576" s="74"/>
    </row>
    <row r="577">
      <c r="A577" s="74"/>
      <c r="B577" s="74"/>
      <c r="C577" s="74"/>
      <c r="D577" s="74"/>
      <c r="E577" s="74"/>
    </row>
    <row r="578">
      <c r="A578" s="74"/>
      <c r="B578" s="74"/>
      <c r="C578" s="74"/>
      <c r="D578" s="74"/>
      <c r="E578" s="74"/>
    </row>
    <row r="579">
      <c r="A579" s="74"/>
      <c r="B579" s="74"/>
      <c r="C579" s="74"/>
      <c r="D579" s="74"/>
      <c r="E579" s="74"/>
    </row>
    <row r="580">
      <c r="A580" s="74"/>
      <c r="B580" s="74"/>
      <c r="C580" s="74"/>
      <c r="D580" s="74"/>
      <c r="E580" s="74"/>
    </row>
    <row r="581">
      <c r="A581" s="74"/>
      <c r="B581" s="74"/>
      <c r="C581" s="74"/>
      <c r="D581" s="74"/>
      <c r="E581" s="74"/>
    </row>
    <row r="582">
      <c r="A582" s="74"/>
      <c r="B582" s="74"/>
      <c r="C582" s="74"/>
      <c r="D582" s="74"/>
      <c r="E582" s="74"/>
    </row>
    <row r="583">
      <c r="A583" s="74"/>
      <c r="B583" s="74"/>
      <c r="C583" s="74"/>
      <c r="D583" s="74"/>
      <c r="E583" s="74"/>
    </row>
    <row r="584">
      <c r="A584" s="74"/>
      <c r="B584" s="74"/>
      <c r="C584" s="74"/>
      <c r="D584" s="74"/>
      <c r="E584" s="74"/>
    </row>
    <row r="585">
      <c r="A585" s="74"/>
      <c r="B585" s="74"/>
      <c r="C585" s="74"/>
      <c r="D585" s="74"/>
      <c r="E585" s="74"/>
    </row>
    <row r="586">
      <c r="A586" s="74"/>
      <c r="B586" s="74"/>
      <c r="C586" s="74"/>
      <c r="D586" s="74"/>
      <c r="E586" s="74"/>
    </row>
    <row r="587">
      <c r="A587" s="74"/>
      <c r="B587" s="74"/>
      <c r="C587" s="74"/>
      <c r="D587" s="74"/>
      <c r="E587" s="74"/>
    </row>
    <row r="588">
      <c r="A588" s="74"/>
      <c r="B588" s="74"/>
      <c r="C588" s="74"/>
      <c r="D588" s="74"/>
      <c r="E588" s="74"/>
    </row>
    <row r="589">
      <c r="A589" s="74"/>
      <c r="B589" s="74"/>
      <c r="C589" s="74"/>
      <c r="D589" s="74"/>
      <c r="E589" s="74"/>
    </row>
    <row r="590">
      <c r="A590" s="74"/>
      <c r="B590" s="74"/>
      <c r="C590" s="74"/>
      <c r="D590" s="74"/>
      <c r="E590" s="74"/>
    </row>
    <row r="591">
      <c r="A591" s="74"/>
      <c r="B591" s="74"/>
      <c r="C591" s="74"/>
      <c r="D591" s="74"/>
      <c r="E591" s="74"/>
    </row>
    <row r="592">
      <c r="A592" s="74"/>
      <c r="B592" s="74"/>
      <c r="C592" s="74"/>
      <c r="D592" s="74"/>
      <c r="E592" s="74"/>
    </row>
    <row r="593">
      <c r="A593" s="74"/>
      <c r="B593" s="74"/>
      <c r="C593" s="74"/>
      <c r="D593" s="74"/>
      <c r="E593" s="74"/>
    </row>
    <row r="594">
      <c r="A594" s="74"/>
      <c r="B594" s="74"/>
      <c r="C594" s="74"/>
      <c r="D594" s="74"/>
      <c r="E594" s="74"/>
    </row>
    <row r="595">
      <c r="A595" s="74"/>
      <c r="B595" s="74"/>
      <c r="C595" s="74"/>
      <c r="D595" s="74"/>
      <c r="E595" s="74"/>
    </row>
    <row r="596">
      <c r="A596" s="74"/>
      <c r="B596" s="74"/>
      <c r="C596" s="74"/>
      <c r="D596" s="74"/>
      <c r="E596" s="74"/>
    </row>
    <row r="597">
      <c r="A597" s="74"/>
      <c r="B597" s="74"/>
      <c r="C597" s="74"/>
      <c r="D597" s="74"/>
      <c r="E597" s="74"/>
    </row>
    <row r="598">
      <c r="A598" s="74"/>
      <c r="B598" s="74"/>
      <c r="C598" s="74"/>
      <c r="D598" s="74"/>
      <c r="E598" s="74"/>
    </row>
    <row r="599">
      <c r="A599" s="74"/>
      <c r="B599" s="74"/>
      <c r="C599" s="74"/>
      <c r="D599" s="74"/>
      <c r="E599" s="74"/>
    </row>
    <row r="600">
      <c r="A600" s="74"/>
      <c r="B600" s="74"/>
      <c r="C600" s="74"/>
      <c r="D600" s="74"/>
      <c r="E600" s="74"/>
    </row>
    <row r="601">
      <c r="A601" s="74"/>
      <c r="B601" s="74"/>
      <c r="C601" s="74"/>
      <c r="D601" s="74"/>
      <c r="E601" s="74"/>
    </row>
    <row r="602">
      <c r="A602" s="74"/>
      <c r="B602" s="74"/>
      <c r="C602" s="74"/>
      <c r="D602" s="74"/>
      <c r="E602" s="74"/>
    </row>
    <row r="603">
      <c r="A603" s="74"/>
      <c r="B603" s="74"/>
      <c r="C603" s="74"/>
      <c r="D603" s="74"/>
      <c r="E603" s="74"/>
    </row>
    <row r="604">
      <c r="A604" s="74"/>
      <c r="B604" s="74"/>
      <c r="C604" s="74"/>
      <c r="D604" s="74"/>
      <c r="E604" s="74"/>
    </row>
    <row r="605">
      <c r="A605" s="74"/>
      <c r="B605" s="74"/>
      <c r="C605" s="74"/>
      <c r="D605" s="74"/>
      <c r="E605" s="74"/>
    </row>
    <row r="606">
      <c r="A606" s="74"/>
      <c r="B606" s="74"/>
      <c r="C606" s="74"/>
      <c r="D606" s="74"/>
      <c r="E606" s="74"/>
    </row>
    <row r="607">
      <c r="A607" s="74"/>
      <c r="B607" s="74"/>
      <c r="C607" s="74"/>
      <c r="D607" s="74"/>
      <c r="E607" s="74"/>
    </row>
    <row r="608">
      <c r="A608" s="74"/>
      <c r="B608" s="74"/>
      <c r="C608" s="74"/>
      <c r="D608" s="74"/>
      <c r="E608" s="74"/>
    </row>
    <row r="609">
      <c r="A609" s="74"/>
      <c r="B609" s="74"/>
      <c r="C609" s="74"/>
      <c r="D609" s="74"/>
      <c r="E609" s="74"/>
    </row>
    <row r="610">
      <c r="A610" s="74"/>
      <c r="B610" s="74"/>
      <c r="C610" s="74"/>
      <c r="D610" s="74"/>
      <c r="E610" s="74"/>
    </row>
    <row r="611">
      <c r="A611" s="74"/>
      <c r="B611" s="74"/>
      <c r="C611" s="74"/>
      <c r="D611" s="74"/>
      <c r="E611" s="74"/>
    </row>
    <row r="612">
      <c r="A612" s="74"/>
      <c r="B612" s="74"/>
      <c r="C612" s="74"/>
      <c r="D612" s="74"/>
      <c r="E612" s="74"/>
    </row>
    <row r="613">
      <c r="A613" s="74"/>
      <c r="B613" s="74"/>
      <c r="C613" s="74"/>
      <c r="D613" s="74"/>
      <c r="E613" s="74"/>
    </row>
    <row r="614">
      <c r="A614" s="74"/>
      <c r="B614" s="74"/>
      <c r="C614" s="74"/>
      <c r="D614" s="74"/>
      <c r="E614" s="74"/>
    </row>
    <row r="615">
      <c r="A615" s="74"/>
      <c r="B615" s="74"/>
      <c r="C615" s="74"/>
      <c r="D615" s="74"/>
      <c r="E615" s="74"/>
    </row>
    <row r="616">
      <c r="A616" s="74"/>
      <c r="B616" s="74"/>
      <c r="C616" s="74"/>
      <c r="D616" s="74"/>
      <c r="E616" s="74"/>
    </row>
    <row r="617">
      <c r="A617" s="74"/>
      <c r="B617" s="74"/>
      <c r="C617" s="74"/>
      <c r="D617" s="74"/>
      <c r="E617" s="74"/>
    </row>
    <row r="618">
      <c r="A618" s="74"/>
      <c r="B618" s="74"/>
      <c r="C618" s="74"/>
      <c r="D618" s="74"/>
      <c r="E618" s="74"/>
    </row>
    <row r="619">
      <c r="A619" s="74"/>
      <c r="B619" s="74"/>
      <c r="C619" s="74"/>
      <c r="D619" s="74"/>
      <c r="E619" s="74"/>
    </row>
    <row r="620">
      <c r="A620" s="74"/>
      <c r="B620" s="74"/>
      <c r="C620" s="74"/>
      <c r="D620" s="74"/>
      <c r="E620" s="74"/>
    </row>
    <row r="621">
      <c r="A621" s="74"/>
      <c r="B621" s="74"/>
      <c r="C621" s="74"/>
      <c r="D621" s="74"/>
      <c r="E621" s="74"/>
    </row>
    <row r="622">
      <c r="A622" s="74"/>
      <c r="B622" s="74"/>
      <c r="C622" s="74"/>
      <c r="D622" s="74"/>
      <c r="E622" s="74"/>
    </row>
    <row r="623">
      <c r="A623" s="74"/>
      <c r="B623" s="74"/>
      <c r="C623" s="74"/>
      <c r="D623" s="74"/>
      <c r="E623" s="74"/>
    </row>
    <row r="624">
      <c r="A624" s="74"/>
      <c r="B624" s="74"/>
      <c r="C624" s="74"/>
      <c r="D624" s="74"/>
      <c r="E624" s="74"/>
    </row>
    <row r="625">
      <c r="A625" s="74"/>
      <c r="B625" s="74"/>
      <c r="C625" s="74"/>
      <c r="D625" s="74"/>
      <c r="E625" s="74"/>
    </row>
    <row r="626">
      <c r="A626" s="74"/>
      <c r="B626" s="74"/>
      <c r="C626" s="74"/>
      <c r="D626" s="74"/>
      <c r="E626" s="74"/>
    </row>
    <row r="627">
      <c r="A627" s="74"/>
      <c r="B627" s="74"/>
      <c r="C627" s="74"/>
      <c r="D627" s="74"/>
      <c r="E627" s="74"/>
    </row>
    <row r="628">
      <c r="A628" s="74"/>
      <c r="B628" s="74"/>
      <c r="C628" s="74"/>
      <c r="D628" s="74"/>
      <c r="E628" s="74"/>
    </row>
    <row r="629">
      <c r="A629" s="74"/>
      <c r="B629" s="74"/>
      <c r="C629" s="74"/>
      <c r="D629" s="74"/>
      <c r="E629" s="74"/>
    </row>
    <row r="630">
      <c r="A630" s="74"/>
      <c r="B630" s="74"/>
      <c r="C630" s="74"/>
      <c r="D630" s="74"/>
      <c r="E630" s="74"/>
    </row>
    <row r="631">
      <c r="A631" s="74"/>
      <c r="B631" s="74"/>
      <c r="C631" s="74"/>
      <c r="D631" s="74"/>
      <c r="E631" s="74"/>
    </row>
    <row r="632">
      <c r="A632" s="74"/>
      <c r="B632" s="74"/>
      <c r="C632" s="74"/>
      <c r="D632" s="74"/>
      <c r="E632" s="74"/>
    </row>
    <row r="633">
      <c r="A633" s="74"/>
      <c r="B633" s="74"/>
      <c r="C633" s="74"/>
      <c r="D633" s="74"/>
      <c r="E633" s="74"/>
    </row>
    <row r="634">
      <c r="A634" s="74"/>
      <c r="B634" s="74"/>
      <c r="C634" s="74"/>
      <c r="D634" s="74"/>
      <c r="E634" s="74"/>
    </row>
    <row r="635">
      <c r="A635" s="74"/>
      <c r="B635" s="74"/>
      <c r="C635" s="74"/>
      <c r="D635" s="74"/>
      <c r="E635" s="74"/>
    </row>
    <row r="636">
      <c r="A636" s="74"/>
      <c r="B636" s="74"/>
      <c r="C636" s="74"/>
      <c r="D636" s="74"/>
      <c r="E636" s="74"/>
    </row>
    <row r="637">
      <c r="A637" s="74"/>
      <c r="B637" s="74"/>
      <c r="C637" s="74"/>
      <c r="D637" s="74"/>
      <c r="E637" s="74"/>
    </row>
    <row r="638">
      <c r="A638" s="74"/>
      <c r="B638" s="74"/>
      <c r="C638" s="74"/>
      <c r="D638" s="74"/>
      <c r="E638" s="74"/>
    </row>
    <row r="639">
      <c r="A639" s="74"/>
      <c r="B639" s="74"/>
      <c r="C639" s="74"/>
      <c r="D639" s="74"/>
      <c r="E639" s="74"/>
    </row>
    <row r="640">
      <c r="A640" s="74"/>
      <c r="B640" s="74"/>
      <c r="C640" s="74"/>
      <c r="D640" s="74"/>
      <c r="E640" s="74"/>
    </row>
    <row r="641">
      <c r="A641" s="74"/>
      <c r="B641" s="74"/>
      <c r="C641" s="74"/>
      <c r="D641" s="74"/>
      <c r="E641" s="74"/>
    </row>
    <row r="642">
      <c r="A642" s="74"/>
      <c r="B642" s="74"/>
      <c r="C642" s="74"/>
      <c r="D642" s="74"/>
      <c r="E642" s="74"/>
    </row>
    <row r="643">
      <c r="A643" s="74"/>
      <c r="B643" s="74"/>
      <c r="C643" s="74"/>
      <c r="D643" s="74"/>
      <c r="E643" s="74"/>
    </row>
    <row r="644">
      <c r="A644" s="74"/>
      <c r="B644" s="74"/>
      <c r="C644" s="74"/>
      <c r="D644" s="74"/>
      <c r="E644" s="74"/>
    </row>
    <row r="645">
      <c r="A645" s="74"/>
      <c r="B645" s="74"/>
      <c r="C645" s="74"/>
      <c r="D645" s="74"/>
      <c r="E645" s="74"/>
    </row>
    <row r="646">
      <c r="A646" s="74"/>
      <c r="B646" s="74"/>
      <c r="C646" s="74"/>
      <c r="D646" s="74"/>
      <c r="E646" s="74"/>
    </row>
    <row r="647">
      <c r="A647" s="74"/>
      <c r="B647" s="74"/>
      <c r="C647" s="74"/>
      <c r="D647" s="74"/>
      <c r="E647" s="74"/>
    </row>
    <row r="648">
      <c r="A648" s="74"/>
      <c r="B648" s="74"/>
      <c r="C648" s="74"/>
      <c r="D648" s="74"/>
      <c r="E648" s="74"/>
    </row>
    <row r="649">
      <c r="A649" s="74"/>
      <c r="B649" s="74"/>
      <c r="C649" s="74"/>
      <c r="D649" s="74"/>
      <c r="E649" s="74"/>
    </row>
    <row r="650">
      <c r="A650" s="74"/>
      <c r="B650" s="74"/>
      <c r="C650" s="74"/>
      <c r="D650" s="74"/>
      <c r="E650" s="74"/>
    </row>
    <row r="651">
      <c r="A651" s="74"/>
      <c r="B651" s="74"/>
      <c r="C651" s="74"/>
      <c r="D651" s="74"/>
      <c r="E651" s="74"/>
    </row>
    <row r="652">
      <c r="A652" s="74"/>
      <c r="B652" s="74"/>
      <c r="C652" s="74"/>
      <c r="D652" s="74"/>
      <c r="E652" s="74"/>
    </row>
    <row r="653">
      <c r="A653" s="74"/>
      <c r="B653" s="74"/>
      <c r="C653" s="74"/>
      <c r="D653" s="74"/>
      <c r="E653" s="74"/>
    </row>
    <row r="654">
      <c r="A654" s="74"/>
      <c r="B654" s="74"/>
      <c r="C654" s="74"/>
      <c r="D654" s="74"/>
      <c r="E654" s="74"/>
    </row>
    <row r="655">
      <c r="A655" s="74"/>
      <c r="B655" s="74"/>
      <c r="C655" s="74"/>
      <c r="D655" s="74"/>
      <c r="E655" s="74"/>
    </row>
    <row r="656">
      <c r="A656" s="74"/>
      <c r="B656" s="74"/>
      <c r="C656" s="74"/>
      <c r="D656" s="74"/>
      <c r="E656" s="74"/>
    </row>
    <row r="657">
      <c r="A657" s="74"/>
      <c r="B657" s="74"/>
      <c r="C657" s="74"/>
      <c r="D657" s="74"/>
      <c r="E657" s="74"/>
    </row>
    <row r="658">
      <c r="A658" s="74"/>
      <c r="B658" s="74"/>
      <c r="C658" s="74"/>
      <c r="D658" s="74"/>
      <c r="E658" s="74"/>
    </row>
    <row r="659">
      <c r="A659" s="74"/>
      <c r="B659" s="74"/>
      <c r="C659" s="74"/>
      <c r="D659" s="74"/>
      <c r="E659" s="74"/>
    </row>
    <row r="660">
      <c r="A660" s="74"/>
      <c r="B660" s="74"/>
      <c r="C660" s="74"/>
      <c r="D660" s="74"/>
      <c r="E660" s="74"/>
    </row>
    <row r="661">
      <c r="A661" s="74"/>
      <c r="B661" s="74"/>
      <c r="C661" s="74"/>
      <c r="D661" s="74"/>
      <c r="E661" s="74"/>
    </row>
    <row r="662">
      <c r="A662" s="74"/>
      <c r="B662" s="74"/>
      <c r="C662" s="74"/>
      <c r="D662" s="74"/>
      <c r="E662" s="74"/>
    </row>
    <row r="663">
      <c r="A663" s="74"/>
      <c r="B663" s="74"/>
      <c r="C663" s="74"/>
      <c r="D663" s="74"/>
      <c r="E663" s="74"/>
    </row>
    <row r="664">
      <c r="A664" s="74"/>
      <c r="B664" s="74"/>
      <c r="C664" s="74"/>
      <c r="D664" s="74"/>
      <c r="E664" s="74"/>
    </row>
    <row r="665">
      <c r="A665" s="74"/>
      <c r="B665" s="74"/>
      <c r="C665" s="74"/>
      <c r="D665" s="74"/>
      <c r="E665" s="74"/>
    </row>
    <row r="666">
      <c r="A666" s="74"/>
      <c r="B666" s="74"/>
      <c r="C666" s="74"/>
      <c r="D666" s="74"/>
      <c r="E666" s="74"/>
    </row>
    <row r="667">
      <c r="A667" s="74"/>
      <c r="B667" s="74"/>
      <c r="C667" s="74"/>
      <c r="D667" s="74"/>
      <c r="E667" s="74"/>
    </row>
    <row r="668">
      <c r="A668" s="74"/>
      <c r="B668" s="74"/>
      <c r="C668" s="74"/>
      <c r="D668" s="74"/>
      <c r="E668" s="74"/>
    </row>
    <row r="669">
      <c r="A669" s="74"/>
      <c r="B669" s="74"/>
      <c r="C669" s="74"/>
      <c r="D669" s="74"/>
      <c r="E669" s="74"/>
    </row>
    <row r="670">
      <c r="A670" s="74"/>
      <c r="B670" s="74"/>
      <c r="C670" s="74"/>
      <c r="D670" s="74"/>
      <c r="E670" s="74"/>
    </row>
    <row r="671">
      <c r="A671" s="74"/>
      <c r="B671" s="74"/>
      <c r="C671" s="74"/>
      <c r="D671" s="74"/>
      <c r="E671" s="74"/>
    </row>
    <row r="672">
      <c r="A672" s="74"/>
      <c r="B672" s="74"/>
      <c r="C672" s="74"/>
      <c r="D672" s="74"/>
      <c r="E672" s="74"/>
    </row>
    <row r="673">
      <c r="A673" s="74"/>
      <c r="B673" s="74"/>
      <c r="C673" s="74"/>
      <c r="D673" s="74"/>
      <c r="E673" s="74"/>
    </row>
    <row r="674">
      <c r="A674" s="74"/>
      <c r="B674" s="74"/>
      <c r="C674" s="74"/>
      <c r="D674" s="74"/>
      <c r="E674" s="74"/>
    </row>
    <row r="675">
      <c r="A675" s="74"/>
      <c r="B675" s="74"/>
      <c r="C675" s="74"/>
      <c r="D675" s="74"/>
      <c r="E675" s="74"/>
    </row>
    <row r="676">
      <c r="A676" s="74"/>
      <c r="B676" s="74"/>
      <c r="C676" s="74"/>
      <c r="D676" s="74"/>
      <c r="E676" s="74"/>
    </row>
    <row r="677">
      <c r="A677" s="74"/>
      <c r="B677" s="74"/>
      <c r="C677" s="74"/>
      <c r="D677" s="74"/>
      <c r="E677" s="74"/>
    </row>
    <row r="678">
      <c r="A678" s="74"/>
      <c r="B678" s="74"/>
      <c r="C678" s="74"/>
      <c r="D678" s="74"/>
      <c r="E678" s="74"/>
    </row>
    <row r="679">
      <c r="A679" s="74"/>
      <c r="B679" s="74"/>
      <c r="C679" s="74"/>
      <c r="D679" s="74"/>
      <c r="E679" s="74"/>
    </row>
    <row r="680">
      <c r="A680" s="74"/>
      <c r="B680" s="74"/>
      <c r="C680" s="74"/>
      <c r="D680" s="74"/>
      <c r="E680" s="74"/>
    </row>
    <row r="681">
      <c r="A681" s="74"/>
      <c r="B681" s="74"/>
      <c r="C681" s="74"/>
      <c r="D681" s="74"/>
      <c r="E681" s="74"/>
    </row>
    <row r="682">
      <c r="A682" s="74"/>
      <c r="B682" s="74"/>
      <c r="C682" s="74"/>
      <c r="D682" s="74"/>
      <c r="E682" s="74"/>
    </row>
    <row r="683">
      <c r="A683" s="74"/>
      <c r="B683" s="74"/>
      <c r="C683" s="74"/>
      <c r="D683" s="74"/>
      <c r="E683" s="74"/>
    </row>
    <row r="684">
      <c r="A684" s="74"/>
      <c r="B684" s="74"/>
      <c r="C684" s="74"/>
      <c r="D684" s="74"/>
      <c r="E684" s="74"/>
    </row>
    <row r="685">
      <c r="A685" s="74"/>
      <c r="B685" s="74"/>
      <c r="C685" s="74"/>
      <c r="D685" s="74"/>
      <c r="E685" s="74"/>
    </row>
    <row r="686">
      <c r="A686" s="74"/>
      <c r="B686" s="74"/>
      <c r="C686" s="74"/>
      <c r="D686" s="74"/>
      <c r="E686" s="74"/>
    </row>
    <row r="687">
      <c r="A687" s="74"/>
      <c r="B687" s="74"/>
      <c r="C687" s="74"/>
      <c r="D687" s="74"/>
      <c r="E687" s="74"/>
    </row>
    <row r="688">
      <c r="A688" s="74"/>
      <c r="B688" s="74"/>
      <c r="C688" s="74"/>
      <c r="D688" s="74"/>
      <c r="E688" s="74"/>
    </row>
    <row r="689">
      <c r="A689" s="74"/>
      <c r="B689" s="74"/>
      <c r="C689" s="74"/>
      <c r="D689" s="74"/>
      <c r="E689" s="74"/>
    </row>
    <row r="690">
      <c r="A690" s="74"/>
      <c r="B690" s="74"/>
      <c r="C690" s="74"/>
      <c r="D690" s="74"/>
      <c r="E690" s="74"/>
    </row>
    <row r="691">
      <c r="A691" s="74"/>
      <c r="B691" s="74"/>
      <c r="C691" s="74"/>
      <c r="D691" s="74"/>
      <c r="E691" s="74"/>
    </row>
    <row r="692">
      <c r="A692" s="74"/>
      <c r="B692" s="74"/>
      <c r="C692" s="74"/>
      <c r="D692" s="74"/>
      <c r="E692" s="74"/>
    </row>
    <row r="693">
      <c r="A693" s="74"/>
      <c r="B693" s="74"/>
      <c r="C693" s="74"/>
      <c r="D693" s="74"/>
      <c r="E693" s="74"/>
    </row>
    <row r="694">
      <c r="A694" s="74"/>
      <c r="B694" s="74"/>
      <c r="C694" s="74"/>
      <c r="D694" s="74"/>
      <c r="E694" s="74"/>
    </row>
    <row r="695">
      <c r="A695" s="74"/>
      <c r="B695" s="74"/>
      <c r="C695" s="74"/>
      <c r="D695" s="74"/>
      <c r="E695" s="74"/>
    </row>
    <row r="696">
      <c r="A696" s="74"/>
      <c r="B696" s="74"/>
      <c r="C696" s="74"/>
      <c r="D696" s="74"/>
      <c r="E696" s="74"/>
    </row>
    <row r="697">
      <c r="A697" s="74"/>
      <c r="B697" s="74"/>
      <c r="C697" s="74"/>
      <c r="D697" s="74"/>
      <c r="E697" s="74"/>
    </row>
    <row r="698">
      <c r="A698" s="74"/>
      <c r="B698" s="74"/>
      <c r="C698" s="74"/>
      <c r="D698" s="74"/>
      <c r="E698" s="74"/>
    </row>
    <row r="699">
      <c r="A699" s="74"/>
      <c r="B699" s="74"/>
      <c r="C699" s="74"/>
      <c r="D699" s="74"/>
      <c r="E699" s="74"/>
    </row>
    <row r="700">
      <c r="A700" s="74"/>
      <c r="B700" s="74"/>
      <c r="C700" s="74"/>
      <c r="D700" s="74"/>
      <c r="E700" s="74"/>
    </row>
    <row r="701">
      <c r="A701" s="74"/>
      <c r="B701" s="74"/>
      <c r="C701" s="74"/>
      <c r="D701" s="74"/>
      <c r="E701" s="74"/>
    </row>
    <row r="702">
      <c r="A702" s="74"/>
      <c r="B702" s="74"/>
      <c r="C702" s="74"/>
      <c r="D702" s="74"/>
      <c r="E702" s="74"/>
    </row>
    <row r="703">
      <c r="A703" s="74"/>
      <c r="B703" s="74"/>
      <c r="C703" s="74"/>
      <c r="D703" s="74"/>
      <c r="E703" s="74"/>
    </row>
    <row r="704">
      <c r="A704" s="74"/>
      <c r="B704" s="74"/>
      <c r="C704" s="74"/>
      <c r="D704" s="74"/>
      <c r="E704" s="74"/>
    </row>
    <row r="705">
      <c r="A705" s="74"/>
      <c r="B705" s="74"/>
      <c r="C705" s="74"/>
      <c r="D705" s="74"/>
      <c r="E705" s="74"/>
    </row>
    <row r="706">
      <c r="A706" s="74"/>
      <c r="B706" s="74"/>
      <c r="C706" s="74"/>
      <c r="D706" s="74"/>
      <c r="E706" s="74"/>
    </row>
    <row r="707">
      <c r="A707" s="74"/>
      <c r="B707" s="74"/>
      <c r="C707" s="74"/>
      <c r="D707" s="74"/>
      <c r="E707" s="74"/>
    </row>
    <row r="708">
      <c r="A708" s="74"/>
      <c r="B708" s="74"/>
      <c r="C708" s="74"/>
      <c r="D708" s="74"/>
      <c r="E708" s="74"/>
    </row>
    <row r="709">
      <c r="A709" s="74"/>
      <c r="B709" s="74"/>
      <c r="C709" s="74"/>
      <c r="D709" s="74"/>
      <c r="E709" s="74"/>
    </row>
    <row r="710">
      <c r="A710" s="74"/>
      <c r="B710" s="74"/>
      <c r="C710" s="74"/>
      <c r="D710" s="74"/>
      <c r="E710" s="74"/>
    </row>
    <row r="711">
      <c r="A711" s="74"/>
      <c r="B711" s="74"/>
      <c r="C711" s="74"/>
      <c r="D711" s="74"/>
      <c r="E711" s="74"/>
    </row>
    <row r="712">
      <c r="A712" s="74"/>
      <c r="B712" s="74"/>
      <c r="C712" s="74"/>
      <c r="D712" s="74"/>
      <c r="E712" s="74"/>
    </row>
    <row r="713">
      <c r="A713" s="74"/>
      <c r="B713" s="74"/>
      <c r="C713" s="74"/>
      <c r="D713" s="74"/>
      <c r="E713" s="74"/>
    </row>
    <row r="714">
      <c r="A714" s="74"/>
      <c r="B714" s="74"/>
      <c r="C714" s="74"/>
      <c r="D714" s="74"/>
      <c r="E714" s="74"/>
    </row>
    <row r="715">
      <c r="A715" s="74"/>
      <c r="B715" s="74"/>
      <c r="C715" s="74"/>
      <c r="D715" s="74"/>
      <c r="E715" s="74"/>
    </row>
    <row r="716">
      <c r="A716" s="74"/>
      <c r="B716" s="74"/>
      <c r="C716" s="74"/>
      <c r="D716" s="74"/>
      <c r="E716" s="74"/>
    </row>
    <row r="717">
      <c r="A717" s="74"/>
      <c r="B717" s="74"/>
      <c r="C717" s="74"/>
      <c r="D717" s="74"/>
      <c r="E717" s="74"/>
    </row>
    <row r="718">
      <c r="A718" s="74"/>
      <c r="B718" s="74"/>
      <c r="C718" s="74"/>
      <c r="D718" s="74"/>
      <c r="E718" s="74"/>
    </row>
    <row r="719">
      <c r="A719" s="74"/>
      <c r="B719" s="74"/>
      <c r="C719" s="74"/>
      <c r="D719" s="74"/>
      <c r="E719" s="74"/>
    </row>
    <row r="720">
      <c r="A720" s="74"/>
      <c r="B720" s="74"/>
      <c r="C720" s="74"/>
      <c r="D720" s="74"/>
      <c r="E720" s="74"/>
    </row>
    <row r="721">
      <c r="A721" s="74"/>
      <c r="B721" s="74"/>
      <c r="C721" s="74"/>
      <c r="D721" s="74"/>
      <c r="E721" s="74"/>
    </row>
    <row r="722">
      <c r="A722" s="74"/>
      <c r="B722" s="74"/>
      <c r="C722" s="74"/>
      <c r="D722" s="74"/>
      <c r="E722" s="74"/>
    </row>
    <row r="723">
      <c r="A723" s="74"/>
      <c r="B723" s="74"/>
      <c r="C723" s="74"/>
      <c r="D723" s="74"/>
      <c r="E723" s="74"/>
    </row>
    <row r="724">
      <c r="A724" s="74"/>
      <c r="B724" s="74"/>
      <c r="C724" s="74"/>
      <c r="D724" s="74"/>
      <c r="E724" s="74"/>
    </row>
    <row r="725">
      <c r="A725" s="74"/>
      <c r="B725" s="74"/>
      <c r="C725" s="74"/>
      <c r="D725" s="74"/>
      <c r="E725" s="74"/>
    </row>
    <row r="726">
      <c r="A726" s="74"/>
      <c r="B726" s="74"/>
      <c r="C726" s="74"/>
      <c r="D726" s="74"/>
      <c r="E726" s="74"/>
    </row>
    <row r="727">
      <c r="A727" s="74"/>
      <c r="B727" s="74"/>
      <c r="C727" s="74"/>
      <c r="D727" s="74"/>
      <c r="E727" s="74"/>
    </row>
    <row r="728">
      <c r="A728" s="74"/>
      <c r="B728" s="74"/>
      <c r="C728" s="74"/>
      <c r="D728" s="74"/>
      <c r="E728" s="74"/>
    </row>
    <row r="729">
      <c r="A729" s="74"/>
      <c r="B729" s="74"/>
      <c r="C729" s="74"/>
      <c r="D729" s="74"/>
      <c r="E729" s="74"/>
    </row>
    <row r="730">
      <c r="A730" s="74"/>
      <c r="B730" s="74"/>
      <c r="C730" s="74"/>
      <c r="D730" s="74"/>
      <c r="E730" s="74"/>
    </row>
    <row r="731">
      <c r="A731" s="74"/>
      <c r="B731" s="74"/>
      <c r="C731" s="74"/>
      <c r="D731" s="74"/>
      <c r="E731" s="74"/>
    </row>
    <row r="732">
      <c r="A732" s="74"/>
      <c r="B732" s="74"/>
      <c r="C732" s="74"/>
      <c r="D732" s="74"/>
      <c r="E732" s="74"/>
    </row>
    <row r="733">
      <c r="A733" s="74"/>
      <c r="B733" s="74"/>
      <c r="C733" s="74"/>
      <c r="D733" s="74"/>
      <c r="E733" s="74"/>
    </row>
    <row r="734">
      <c r="A734" s="74"/>
      <c r="B734" s="74"/>
      <c r="C734" s="74"/>
      <c r="D734" s="74"/>
      <c r="E734" s="74"/>
    </row>
    <row r="735">
      <c r="A735" s="74"/>
      <c r="B735" s="74"/>
      <c r="C735" s="74"/>
      <c r="D735" s="74"/>
      <c r="E735" s="74"/>
    </row>
    <row r="736">
      <c r="A736" s="74"/>
      <c r="B736" s="74"/>
      <c r="C736" s="74"/>
      <c r="D736" s="74"/>
      <c r="E736" s="74"/>
    </row>
    <row r="737">
      <c r="A737" s="74"/>
      <c r="B737" s="74"/>
      <c r="C737" s="74"/>
      <c r="D737" s="74"/>
      <c r="E737" s="74"/>
    </row>
    <row r="738">
      <c r="A738" s="74"/>
      <c r="B738" s="74"/>
      <c r="C738" s="74"/>
      <c r="D738" s="74"/>
      <c r="E738" s="74"/>
    </row>
    <row r="739">
      <c r="A739" s="74"/>
      <c r="B739" s="74"/>
      <c r="C739" s="74"/>
      <c r="D739" s="74"/>
      <c r="E739" s="74"/>
    </row>
    <row r="740">
      <c r="A740" s="74"/>
      <c r="B740" s="74"/>
      <c r="C740" s="74"/>
      <c r="D740" s="74"/>
      <c r="E740" s="74"/>
    </row>
    <row r="741">
      <c r="A741" s="74"/>
      <c r="B741" s="74"/>
      <c r="C741" s="74"/>
      <c r="D741" s="74"/>
      <c r="E741" s="74"/>
    </row>
    <row r="742">
      <c r="A742" s="74"/>
      <c r="B742" s="74"/>
      <c r="C742" s="74"/>
      <c r="D742" s="74"/>
      <c r="E742" s="74"/>
    </row>
    <row r="743">
      <c r="A743" s="74"/>
      <c r="B743" s="74"/>
      <c r="C743" s="74"/>
      <c r="D743" s="74"/>
      <c r="E743" s="74"/>
    </row>
    <row r="744">
      <c r="A744" s="74"/>
      <c r="B744" s="74"/>
      <c r="C744" s="74"/>
      <c r="D744" s="74"/>
      <c r="E744" s="74"/>
    </row>
    <row r="745">
      <c r="A745" s="74"/>
      <c r="B745" s="74"/>
      <c r="C745" s="74"/>
      <c r="D745" s="74"/>
      <c r="E745" s="74"/>
    </row>
    <row r="746">
      <c r="A746" s="74"/>
      <c r="B746" s="74"/>
      <c r="C746" s="74"/>
      <c r="D746" s="74"/>
      <c r="E746" s="74"/>
    </row>
    <row r="747">
      <c r="A747" s="74"/>
      <c r="B747" s="74"/>
      <c r="C747" s="74"/>
      <c r="D747" s="74"/>
      <c r="E747" s="74"/>
    </row>
    <row r="748">
      <c r="A748" s="74"/>
      <c r="B748" s="74"/>
      <c r="C748" s="74"/>
      <c r="D748" s="74"/>
      <c r="E748" s="74"/>
    </row>
    <row r="749">
      <c r="A749" s="74"/>
      <c r="B749" s="74"/>
      <c r="C749" s="74"/>
      <c r="D749" s="74"/>
      <c r="E749" s="74"/>
    </row>
    <row r="750">
      <c r="A750" s="74"/>
      <c r="B750" s="74"/>
      <c r="C750" s="74"/>
      <c r="D750" s="74"/>
      <c r="E750" s="74"/>
    </row>
    <row r="751">
      <c r="A751" s="74"/>
      <c r="B751" s="74"/>
      <c r="C751" s="74"/>
      <c r="D751" s="74"/>
      <c r="E751" s="74"/>
    </row>
    <row r="752">
      <c r="A752" s="74"/>
      <c r="B752" s="74"/>
      <c r="C752" s="74"/>
      <c r="D752" s="74"/>
      <c r="E752" s="74"/>
    </row>
    <row r="753">
      <c r="A753" s="74"/>
      <c r="B753" s="74"/>
      <c r="C753" s="74"/>
      <c r="D753" s="74"/>
      <c r="E753" s="74"/>
    </row>
    <row r="754">
      <c r="A754" s="74"/>
      <c r="B754" s="74"/>
      <c r="C754" s="74"/>
      <c r="D754" s="74"/>
      <c r="E754" s="74"/>
    </row>
    <row r="755">
      <c r="A755" s="74"/>
      <c r="B755" s="74"/>
      <c r="C755" s="74"/>
      <c r="D755" s="74"/>
      <c r="E755" s="74"/>
    </row>
    <row r="756">
      <c r="A756" s="74"/>
      <c r="B756" s="74"/>
      <c r="C756" s="74"/>
      <c r="D756" s="74"/>
      <c r="E756" s="74"/>
    </row>
    <row r="757">
      <c r="A757" s="74"/>
      <c r="B757" s="74"/>
      <c r="C757" s="74"/>
      <c r="D757" s="74"/>
      <c r="E757" s="74"/>
    </row>
    <row r="758">
      <c r="A758" s="74"/>
      <c r="B758" s="74"/>
      <c r="C758" s="74"/>
      <c r="D758" s="74"/>
      <c r="E758" s="74"/>
    </row>
    <row r="759">
      <c r="A759" s="74"/>
      <c r="B759" s="74"/>
      <c r="C759" s="74"/>
      <c r="D759" s="74"/>
      <c r="E759" s="74"/>
    </row>
    <row r="760">
      <c r="A760" s="74"/>
      <c r="B760" s="74"/>
      <c r="C760" s="74"/>
      <c r="D760" s="74"/>
      <c r="E760" s="74"/>
    </row>
    <row r="761">
      <c r="A761" s="74"/>
      <c r="B761" s="74"/>
      <c r="C761" s="74"/>
      <c r="D761" s="74"/>
      <c r="E761" s="74"/>
    </row>
    <row r="762">
      <c r="A762" s="74"/>
      <c r="B762" s="74"/>
      <c r="C762" s="74"/>
      <c r="D762" s="74"/>
      <c r="E762" s="74"/>
    </row>
    <row r="763">
      <c r="A763" s="74"/>
      <c r="B763" s="74"/>
      <c r="C763" s="74"/>
      <c r="D763" s="74"/>
      <c r="E763" s="74"/>
    </row>
    <row r="764">
      <c r="A764" s="74"/>
      <c r="B764" s="74"/>
      <c r="C764" s="74"/>
      <c r="D764" s="74"/>
      <c r="E764" s="74"/>
    </row>
    <row r="765">
      <c r="A765" s="74"/>
      <c r="B765" s="74"/>
      <c r="C765" s="74"/>
      <c r="D765" s="74"/>
      <c r="E765" s="74"/>
    </row>
    <row r="766">
      <c r="A766" s="74"/>
      <c r="B766" s="74"/>
      <c r="C766" s="74"/>
      <c r="D766" s="74"/>
      <c r="E766" s="74"/>
    </row>
    <row r="767">
      <c r="A767" s="74"/>
      <c r="B767" s="74"/>
      <c r="C767" s="74"/>
      <c r="D767" s="74"/>
      <c r="E767" s="74"/>
    </row>
    <row r="768">
      <c r="A768" s="74"/>
      <c r="B768" s="74"/>
      <c r="C768" s="74"/>
      <c r="D768" s="74"/>
      <c r="E768" s="74"/>
    </row>
    <row r="769">
      <c r="A769" s="74"/>
      <c r="B769" s="74"/>
      <c r="C769" s="74"/>
      <c r="D769" s="74"/>
      <c r="E769" s="74"/>
    </row>
    <row r="770">
      <c r="A770" s="74"/>
      <c r="B770" s="74"/>
      <c r="C770" s="74"/>
      <c r="D770" s="74"/>
      <c r="E770" s="74"/>
    </row>
    <row r="771">
      <c r="A771" s="74"/>
      <c r="B771" s="74"/>
      <c r="C771" s="74"/>
      <c r="D771" s="74"/>
      <c r="E771" s="74"/>
    </row>
    <row r="772">
      <c r="A772" s="74"/>
      <c r="B772" s="74"/>
      <c r="C772" s="74"/>
      <c r="D772" s="74"/>
      <c r="E772" s="74"/>
    </row>
    <row r="773">
      <c r="A773" s="74"/>
      <c r="B773" s="74"/>
      <c r="C773" s="74"/>
      <c r="D773" s="74"/>
      <c r="E773" s="74"/>
    </row>
    <row r="774">
      <c r="A774" s="74"/>
      <c r="B774" s="74"/>
      <c r="C774" s="74"/>
      <c r="D774" s="74"/>
      <c r="E774" s="74"/>
    </row>
    <row r="775">
      <c r="A775" s="74"/>
      <c r="B775" s="74"/>
      <c r="C775" s="74"/>
      <c r="D775" s="74"/>
      <c r="E775" s="74"/>
    </row>
    <row r="776">
      <c r="A776" s="74"/>
      <c r="B776" s="74"/>
      <c r="C776" s="74"/>
      <c r="D776" s="74"/>
      <c r="E776" s="74"/>
    </row>
    <row r="777">
      <c r="A777" s="74"/>
      <c r="B777" s="74"/>
      <c r="C777" s="74"/>
      <c r="D777" s="74"/>
      <c r="E777" s="74"/>
    </row>
    <row r="778">
      <c r="A778" s="74"/>
      <c r="B778" s="74"/>
      <c r="C778" s="74"/>
      <c r="D778" s="74"/>
      <c r="E778" s="74"/>
    </row>
    <row r="779">
      <c r="A779" s="74"/>
      <c r="B779" s="74"/>
      <c r="C779" s="74"/>
      <c r="D779" s="74"/>
      <c r="E779" s="74"/>
    </row>
    <row r="780">
      <c r="A780" s="74"/>
      <c r="B780" s="74"/>
      <c r="C780" s="74"/>
      <c r="D780" s="74"/>
      <c r="E780" s="74"/>
    </row>
    <row r="781">
      <c r="A781" s="74"/>
      <c r="B781" s="74"/>
      <c r="C781" s="74"/>
      <c r="D781" s="74"/>
      <c r="E781" s="74"/>
    </row>
    <row r="782">
      <c r="A782" s="74"/>
      <c r="B782" s="74"/>
      <c r="C782" s="74"/>
      <c r="D782" s="74"/>
      <c r="E782" s="74"/>
    </row>
    <row r="783">
      <c r="A783" s="74"/>
      <c r="B783" s="74"/>
      <c r="C783" s="74"/>
      <c r="D783" s="74"/>
      <c r="E783" s="74"/>
    </row>
    <row r="784">
      <c r="A784" s="74"/>
      <c r="B784" s="74"/>
      <c r="C784" s="74"/>
      <c r="D784" s="74"/>
      <c r="E784" s="74"/>
    </row>
    <row r="785">
      <c r="A785" s="74"/>
      <c r="B785" s="74"/>
      <c r="C785" s="74"/>
      <c r="D785" s="74"/>
      <c r="E785" s="74"/>
    </row>
    <row r="786">
      <c r="A786" s="74"/>
      <c r="B786" s="74"/>
      <c r="C786" s="74"/>
      <c r="D786" s="74"/>
      <c r="E786" s="74"/>
    </row>
    <row r="787">
      <c r="A787" s="74"/>
      <c r="B787" s="74"/>
      <c r="C787" s="74"/>
      <c r="D787" s="74"/>
      <c r="E787" s="74"/>
    </row>
    <row r="788">
      <c r="A788" s="74"/>
      <c r="B788" s="74"/>
      <c r="C788" s="74"/>
      <c r="D788" s="74"/>
      <c r="E788" s="74"/>
    </row>
    <row r="789">
      <c r="A789" s="74"/>
      <c r="B789" s="74"/>
      <c r="C789" s="74"/>
      <c r="D789" s="74"/>
      <c r="E789" s="74"/>
    </row>
    <row r="790">
      <c r="A790" s="74"/>
      <c r="B790" s="74"/>
      <c r="C790" s="74"/>
      <c r="D790" s="74"/>
      <c r="E790" s="74"/>
    </row>
    <row r="791">
      <c r="A791" s="74"/>
      <c r="B791" s="74"/>
      <c r="C791" s="74"/>
      <c r="D791" s="74"/>
      <c r="E791" s="74"/>
    </row>
    <row r="792">
      <c r="A792" s="74"/>
      <c r="B792" s="74"/>
      <c r="C792" s="74"/>
      <c r="D792" s="74"/>
      <c r="E792" s="74"/>
    </row>
    <row r="793">
      <c r="A793" s="74"/>
      <c r="B793" s="74"/>
      <c r="C793" s="74"/>
      <c r="D793" s="74"/>
      <c r="E793" s="74"/>
    </row>
    <row r="794">
      <c r="A794" s="74"/>
      <c r="B794" s="74"/>
      <c r="C794" s="74"/>
      <c r="D794" s="74"/>
      <c r="E794" s="74"/>
    </row>
    <row r="795">
      <c r="A795" s="74"/>
      <c r="B795" s="74"/>
      <c r="C795" s="74"/>
      <c r="D795" s="74"/>
      <c r="E795" s="74"/>
    </row>
    <row r="796">
      <c r="A796" s="74"/>
      <c r="B796" s="74"/>
      <c r="C796" s="74"/>
      <c r="D796" s="74"/>
      <c r="E796" s="74"/>
    </row>
    <row r="797">
      <c r="A797" s="74"/>
      <c r="B797" s="74"/>
      <c r="C797" s="74"/>
      <c r="D797" s="74"/>
      <c r="E797" s="74"/>
    </row>
    <row r="798">
      <c r="A798" s="74"/>
      <c r="B798" s="74"/>
      <c r="C798" s="74"/>
      <c r="D798" s="74"/>
      <c r="E798" s="74"/>
    </row>
    <row r="799">
      <c r="A799" s="74"/>
      <c r="B799" s="74"/>
      <c r="C799" s="74"/>
      <c r="D799" s="74"/>
      <c r="E799" s="74"/>
    </row>
    <row r="800">
      <c r="A800" s="74"/>
      <c r="B800" s="74"/>
      <c r="C800" s="74"/>
      <c r="D800" s="74"/>
      <c r="E800" s="74"/>
    </row>
    <row r="801">
      <c r="A801" s="74"/>
      <c r="B801" s="74"/>
      <c r="C801" s="74"/>
      <c r="D801" s="74"/>
      <c r="E801" s="74"/>
    </row>
    <row r="802">
      <c r="A802" s="74"/>
      <c r="B802" s="74"/>
      <c r="C802" s="74"/>
      <c r="D802" s="74"/>
      <c r="E802" s="74"/>
    </row>
    <row r="803">
      <c r="A803" s="74"/>
      <c r="B803" s="74"/>
      <c r="C803" s="74"/>
      <c r="D803" s="74"/>
      <c r="E803" s="74"/>
    </row>
    <row r="804">
      <c r="A804" s="74"/>
      <c r="B804" s="74"/>
      <c r="C804" s="74"/>
      <c r="D804" s="74"/>
      <c r="E804" s="74"/>
    </row>
    <row r="805">
      <c r="A805" s="74"/>
      <c r="B805" s="74"/>
      <c r="C805" s="74"/>
      <c r="D805" s="74"/>
      <c r="E805" s="74"/>
    </row>
    <row r="806">
      <c r="A806" s="74"/>
      <c r="B806" s="74"/>
      <c r="C806" s="74"/>
      <c r="D806" s="74"/>
      <c r="E806" s="74"/>
    </row>
    <row r="807">
      <c r="A807" s="74"/>
      <c r="B807" s="74"/>
      <c r="C807" s="74"/>
      <c r="D807" s="74"/>
      <c r="E807" s="74"/>
    </row>
    <row r="808">
      <c r="A808" s="74"/>
      <c r="B808" s="74"/>
      <c r="C808" s="74"/>
      <c r="D808" s="74"/>
      <c r="E808" s="74"/>
    </row>
    <row r="809">
      <c r="A809" s="74"/>
      <c r="B809" s="74"/>
      <c r="C809" s="74"/>
      <c r="D809" s="74"/>
      <c r="E809" s="74"/>
    </row>
    <row r="810">
      <c r="A810" s="74"/>
      <c r="B810" s="74"/>
      <c r="C810" s="74"/>
      <c r="D810" s="74"/>
      <c r="E810" s="74"/>
    </row>
    <row r="811">
      <c r="A811" s="74"/>
      <c r="B811" s="74"/>
      <c r="C811" s="74"/>
      <c r="D811" s="74"/>
      <c r="E811" s="74"/>
    </row>
    <row r="812">
      <c r="A812" s="74"/>
      <c r="B812" s="74"/>
      <c r="C812" s="74"/>
      <c r="D812" s="74"/>
      <c r="E812" s="74"/>
    </row>
    <row r="813">
      <c r="A813" s="74"/>
      <c r="B813" s="74"/>
      <c r="C813" s="74"/>
      <c r="D813" s="74"/>
      <c r="E813" s="74"/>
    </row>
    <row r="814">
      <c r="A814" s="74"/>
      <c r="B814" s="74"/>
      <c r="C814" s="74"/>
      <c r="D814" s="74"/>
      <c r="E814" s="74"/>
    </row>
    <row r="815">
      <c r="A815" s="74"/>
      <c r="B815" s="74"/>
      <c r="C815" s="74"/>
      <c r="D815" s="74"/>
      <c r="E815" s="74"/>
    </row>
    <row r="816">
      <c r="A816" s="74"/>
      <c r="B816" s="74"/>
      <c r="C816" s="74"/>
      <c r="D816" s="74"/>
      <c r="E816" s="74"/>
    </row>
    <row r="817">
      <c r="A817" s="74"/>
      <c r="B817" s="74"/>
      <c r="C817" s="74"/>
      <c r="D817" s="74"/>
      <c r="E817" s="74"/>
    </row>
    <row r="818">
      <c r="A818" s="74"/>
      <c r="B818" s="74"/>
      <c r="C818" s="74"/>
      <c r="D818" s="74"/>
      <c r="E818" s="74"/>
    </row>
    <row r="819">
      <c r="A819" s="74"/>
      <c r="B819" s="74"/>
      <c r="C819" s="74"/>
      <c r="D819" s="74"/>
      <c r="E819" s="74"/>
    </row>
    <row r="820">
      <c r="A820" s="74"/>
      <c r="B820" s="74"/>
      <c r="C820" s="74"/>
      <c r="D820" s="74"/>
      <c r="E820" s="74"/>
    </row>
    <row r="821">
      <c r="A821" s="74"/>
      <c r="B821" s="74"/>
      <c r="C821" s="74"/>
      <c r="D821" s="74"/>
      <c r="E821" s="74"/>
    </row>
    <row r="822">
      <c r="A822" s="74"/>
      <c r="B822" s="74"/>
      <c r="C822" s="74"/>
      <c r="D822" s="74"/>
      <c r="E822" s="74"/>
    </row>
    <row r="823">
      <c r="A823" s="74"/>
      <c r="B823" s="74"/>
      <c r="C823" s="74"/>
      <c r="D823" s="74"/>
      <c r="E823" s="74"/>
    </row>
    <row r="824">
      <c r="A824" s="74"/>
      <c r="B824" s="74"/>
      <c r="C824" s="74"/>
      <c r="D824" s="74"/>
      <c r="E824" s="74"/>
    </row>
    <row r="825">
      <c r="A825" s="74"/>
      <c r="B825" s="74"/>
      <c r="C825" s="74"/>
      <c r="D825" s="74"/>
      <c r="E825" s="74"/>
    </row>
    <row r="826">
      <c r="A826" s="74"/>
      <c r="B826" s="74"/>
      <c r="C826" s="74"/>
      <c r="D826" s="74"/>
      <c r="E826" s="74"/>
    </row>
    <row r="827">
      <c r="A827" s="74"/>
      <c r="B827" s="74"/>
      <c r="C827" s="74"/>
      <c r="D827" s="74"/>
      <c r="E827" s="74"/>
    </row>
    <row r="828">
      <c r="A828" s="74"/>
      <c r="B828" s="74"/>
      <c r="C828" s="74"/>
      <c r="D828" s="74"/>
      <c r="E828" s="74"/>
    </row>
    <row r="829">
      <c r="A829" s="74"/>
      <c r="B829" s="74"/>
      <c r="C829" s="74"/>
      <c r="D829" s="74"/>
      <c r="E829" s="74"/>
    </row>
    <row r="830">
      <c r="A830" s="74"/>
      <c r="B830" s="74"/>
      <c r="C830" s="74"/>
      <c r="D830" s="74"/>
      <c r="E830" s="74"/>
    </row>
    <row r="831">
      <c r="A831" s="74"/>
      <c r="B831" s="74"/>
      <c r="C831" s="74"/>
      <c r="D831" s="74"/>
      <c r="E831" s="74"/>
    </row>
    <row r="832">
      <c r="A832" s="74"/>
      <c r="B832" s="74"/>
      <c r="C832" s="74"/>
      <c r="D832" s="74"/>
      <c r="E832" s="74"/>
    </row>
    <row r="833">
      <c r="A833" s="74"/>
      <c r="B833" s="74"/>
      <c r="C833" s="74"/>
      <c r="D833" s="74"/>
      <c r="E833" s="74"/>
    </row>
    <row r="834">
      <c r="A834" s="74"/>
      <c r="B834" s="74"/>
      <c r="C834" s="74"/>
      <c r="D834" s="74"/>
      <c r="E834" s="74"/>
    </row>
    <row r="835">
      <c r="A835" s="74"/>
      <c r="B835" s="74"/>
      <c r="C835" s="74"/>
      <c r="D835" s="74"/>
      <c r="E835" s="74"/>
    </row>
    <row r="836">
      <c r="A836" s="74"/>
      <c r="B836" s="74"/>
      <c r="C836" s="74"/>
      <c r="D836" s="74"/>
      <c r="E836" s="74"/>
    </row>
    <row r="837">
      <c r="A837" s="74"/>
      <c r="B837" s="74"/>
      <c r="C837" s="74"/>
      <c r="D837" s="74"/>
      <c r="E837" s="74"/>
    </row>
    <row r="838">
      <c r="A838" s="74"/>
      <c r="B838" s="74"/>
      <c r="C838" s="74"/>
      <c r="D838" s="74"/>
      <c r="E838" s="74"/>
    </row>
    <row r="839">
      <c r="A839" s="74"/>
      <c r="B839" s="74"/>
      <c r="C839" s="74"/>
      <c r="D839" s="74"/>
      <c r="E839" s="74"/>
    </row>
    <row r="840">
      <c r="A840" s="74"/>
      <c r="B840" s="74"/>
      <c r="C840" s="74"/>
      <c r="D840" s="74"/>
      <c r="E840" s="74"/>
    </row>
    <row r="841">
      <c r="A841" s="74"/>
      <c r="B841" s="74"/>
      <c r="C841" s="74"/>
      <c r="D841" s="74"/>
      <c r="E841" s="74"/>
    </row>
    <row r="842">
      <c r="A842" s="74"/>
      <c r="B842" s="74"/>
      <c r="C842" s="74"/>
      <c r="D842" s="74"/>
      <c r="E842" s="74"/>
    </row>
    <row r="843">
      <c r="A843" s="74"/>
      <c r="B843" s="74"/>
      <c r="C843" s="74"/>
      <c r="D843" s="74"/>
      <c r="E843" s="74"/>
    </row>
    <row r="844">
      <c r="A844" s="74"/>
      <c r="B844" s="74"/>
      <c r="C844" s="74"/>
      <c r="D844" s="74"/>
      <c r="E844" s="74"/>
    </row>
    <row r="845">
      <c r="A845" s="74"/>
      <c r="B845" s="74"/>
      <c r="C845" s="74"/>
      <c r="D845" s="74"/>
      <c r="E845" s="74"/>
    </row>
    <row r="846">
      <c r="A846" s="74"/>
      <c r="B846" s="74"/>
      <c r="C846" s="74"/>
      <c r="D846" s="74"/>
      <c r="E846" s="74"/>
    </row>
    <row r="847">
      <c r="A847" s="74"/>
      <c r="B847" s="74"/>
      <c r="C847" s="74"/>
      <c r="D847" s="74"/>
      <c r="E847" s="74"/>
    </row>
    <row r="848">
      <c r="A848" s="74"/>
      <c r="B848" s="74"/>
      <c r="C848" s="74"/>
      <c r="D848" s="74"/>
      <c r="E848" s="74"/>
    </row>
    <row r="849">
      <c r="A849" s="74"/>
      <c r="B849" s="74"/>
      <c r="C849" s="74"/>
      <c r="D849" s="74"/>
      <c r="E849" s="74"/>
    </row>
    <row r="850">
      <c r="A850" s="74"/>
      <c r="B850" s="74"/>
      <c r="C850" s="74"/>
      <c r="D850" s="74"/>
      <c r="E850" s="74"/>
    </row>
    <row r="851">
      <c r="A851" s="74"/>
      <c r="B851" s="74"/>
      <c r="C851" s="74"/>
      <c r="D851" s="74"/>
      <c r="E851" s="74"/>
    </row>
    <row r="852">
      <c r="A852" s="74"/>
      <c r="B852" s="74"/>
      <c r="C852" s="74"/>
      <c r="D852" s="74"/>
      <c r="E852" s="74"/>
    </row>
    <row r="853">
      <c r="A853" s="74"/>
      <c r="B853" s="74"/>
      <c r="C853" s="74"/>
      <c r="D853" s="74"/>
      <c r="E853" s="74"/>
    </row>
    <row r="854">
      <c r="A854" s="74"/>
      <c r="B854" s="74"/>
      <c r="C854" s="74"/>
      <c r="D854" s="74"/>
      <c r="E854" s="74"/>
    </row>
    <row r="855">
      <c r="A855" s="74"/>
      <c r="B855" s="74"/>
      <c r="C855" s="74"/>
      <c r="D855" s="74"/>
      <c r="E855" s="74"/>
    </row>
    <row r="856">
      <c r="A856" s="74"/>
      <c r="B856" s="74"/>
      <c r="C856" s="74"/>
      <c r="D856" s="74"/>
      <c r="E856" s="74"/>
    </row>
    <row r="857">
      <c r="A857" s="74"/>
      <c r="B857" s="74"/>
      <c r="C857" s="74"/>
      <c r="D857" s="74"/>
      <c r="E857" s="74"/>
    </row>
    <row r="858">
      <c r="A858" s="74"/>
      <c r="B858" s="74"/>
      <c r="C858" s="74"/>
      <c r="D858" s="74"/>
      <c r="E858" s="74"/>
    </row>
    <row r="859">
      <c r="A859" s="74"/>
      <c r="B859" s="74"/>
      <c r="C859" s="74"/>
      <c r="D859" s="74"/>
      <c r="E859" s="74"/>
    </row>
    <row r="860">
      <c r="A860" s="74"/>
      <c r="B860" s="74"/>
      <c r="C860" s="74"/>
      <c r="D860" s="74"/>
      <c r="E860" s="74"/>
    </row>
    <row r="861">
      <c r="A861" s="74"/>
      <c r="B861" s="74"/>
      <c r="C861" s="74"/>
      <c r="D861" s="74"/>
      <c r="E861" s="74"/>
    </row>
    <row r="862">
      <c r="A862" s="74"/>
      <c r="B862" s="74"/>
      <c r="C862" s="74"/>
      <c r="D862" s="74"/>
      <c r="E862" s="74"/>
    </row>
    <row r="863">
      <c r="A863" s="74"/>
      <c r="B863" s="74"/>
      <c r="C863" s="74"/>
      <c r="D863" s="74"/>
      <c r="E863" s="74"/>
    </row>
    <row r="864">
      <c r="A864" s="74"/>
      <c r="B864" s="74"/>
      <c r="C864" s="74"/>
      <c r="D864" s="74"/>
      <c r="E864" s="74"/>
    </row>
    <row r="865">
      <c r="A865" s="74"/>
      <c r="B865" s="74"/>
      <c r="C865" s="74"/>
      <c r="D865" s="74"/>
      <c r="E865" s="74"/>
    </row>
    <row r="866">
      <c r="A866" s="74"/>
      <c r="B866" s="74"/>
      <c r="C866" s="74"/>
      <c r="D866" s="74"/>
      <c r="E866" s="74"/>
    </row>
    <row r="867">
      <c r="A867" s="74"/>
      <c r="B867" s="74"/>
      <c r="C867" s="74"/>
      <c r="D867" s="74"/>
      <c r="E867" s="74"/>
    </row>
    <row r="868">
      <c r="A868" s="74"/>
      <c r="B868" s="74"/>
      <c r="C868" s="74"/>
      <c r="D868" s="74"/>
      <c r="E868" s="74"/>
    </row>
    <row r="869">
      <c r="A869" s="74"/>
      <c r="B869" s="74"/>
      <c r="C869" s="74"/>
      <c r="D869" s="74"/>
      <c r="E869" s="74"/>
    </row>
    <row r="870">
      <c r="A870" s="74"/>
      <c r="B870" s="74"/>
      <c r="C870" s="74"/>
      <c r="D870" s="74"/>
      <c r="E870" s="74"/>
    </row>
    <row r="871">
      <c r="A871" s="74"/>
      <c r="B871" s="74"/>
      <c r="C871" s="74"/>
      <c r="D871" s="74"/>
      <c r="E871" s="74"/>
    </row>
    <row r="872">
      <c r="A872" s="74"/>
      <c r="B872" s="74"/>
      <c r="C872" s="74"/>
      <c r="D872" s="74"/>
      <c r="E872" s="74"/>
    </row>
    <row r="873">
      <c r="A873" s="74"/>
      <c r="B873" s="74"/>
      <c r="C873" s="74"/>
      <c r="D873" s="74"/>
      <c r="E873" s="74"/>
    </row>
    <row r="874">
      <c r="A874" s="74"/>
      <c r="B874" s="74"/>
      <c r="C874" s="74"/>
      <c r="D874" s="74"/>
      <c r="E874" s="74"/>
    </row>
    <row r="875">
      <c r="A875" s="74"/>
      <c r="B875" s="74"/>
      <c r="C875" s="74"/>
      <c r="D875" s="74"/>
      <c r="E875" s="74"/>
    </row>
    <row r="876">
      <c r="A876" s="74"/>
      <c r="B876" s="74"/>
      <c r="C876" s="74"/>
      <c r="D876" s="74"/>
      <c r="E876" s="74"/>
    </row>
    <row r="877">
      <c r="A877" s="74"/>
      <c r="B877" s="74"/>
      <c r="C877" s="74"/>
      <c r="D877" s="74"/>
      <c r="E877" s="74"/>
    </row>
    <row r="878">
      <c r="A878" s="74"/>
      <c r="B878" s="74"/>
      <c r="C878" s="74"/>
      <c r="D878" s="74"/>
      <c r="E878" s="74"/>
    </row>
    <row r="879">
      <c r="A879" s="74"/>
      <c r="B879" s="74"/>
      <c r="C879" s="74"/>
      <c r="D879" s="74"/>
      <c r="E879" s="74"/>
    </row>
    <row r="880">
      <c r="A880" s="74"/>
      <c r="B880" s="74"/>
      <c r="C880" s="74"/>
      <c r="D880" s="74"/>
      <c r="E880" s="74"/>
    </row>
    <row r="881">
      <c r="A881" s="74"/>
      <c r="B881" s="74"/>
      <c r="C881" s="74"/>
      <c r="D881" s="74"/>
      <c r="E881" s="74"/>
    </row>
    <row r="882">
      <c r="A882" s="74"/>
      <c r="B882" s="74"/>
      <c r="C882" s="74"/>
      <c r="D882" s="74"/>
      <c r="E882" s="74"/>
    </row>
    <row r="883">
      <c r="A883" s="74"/>
      <c r="B883" s="74"/>
      <c r="C883" s="74"/>
      <c r="D883" s="74"/>
      <c r="E883" s="74"/>
    </row>
    <row r="884">
      <c r="A884" s="74"/>
      <c r="B884" s="74"/>
      <c r="C884" s="74"/>
      <c r="D884" s="74"/>
      <c r="E884" s="74"/>
    </row>
    <row r="885">
      <c r="A885" s="74"/>
      <c r="B885" s="74"/>
      <c r="C885" s="74"/>
      <c r="D885" s="74"/>
      <c r="E885" s="74"/>
    </row>
    <row r="886">
      <c r="A886" s="74"/>
      <c r="B886" s="74"/>
      <c r="C886" s="74"/>
      <c r="D886" s="74"/>
      <c r="E886" s="74"/>
    </row>
    <row r="887">
      <c r="A887" s="74"/>
      <c r="B887" s="74"/>
      <c r="C887" s="74"/>
      <c r="D887" s="74"/>
      <c r="E887" s="74"/>
    </row>
    <row r="888">
      <c r="A888" s="74"/>
      <c r="B888" s="74"/>
      <c r="C888" s="74"/>
      <c r="D888" s="74"/>
      <c r="E888" s="74"/>
    </row>
    <row r="889">
      <c r="A889" s="74"/>
      <c r="B889" s="74"/>
      <c r="C889" s="74"/>
      <c r="D889" s="74"/>
      <c r="E889" s="74"/>
    </row>
    <row r="890">
      <c r="A890" s="74"/>
      <c r="B890" s="74"/>
      <c r="C890" s="74"/>
      <c r="D890" s="74"/>
      <c r="E890" s="74"/>
    </row>
    <row r="891">
      <c r="A891" s="74"/>
      <c r="B891" s="74"/>
      <c r="C891" s="74"/>
      <c r="D891" s="74"/>
      <c r="E891" s="74"/>
    </row>
    <row r="892">
      <c r="A892" s="74"/>
      <c r="B892" s="74"/>
      <c r="C892" s="74"/>
      <c r="D892" s="74"/>
      <c r="E892" s="74"/>
    </row>
    <row r="893">
      <c r="A893" s="74"/>
      <c r="B893" s="74"/>
      <c r="C893" s="74"/>
      <c r="D893" s="74"/>
      <c r="E893" s="74"/>
    </row>
    <row r="894">
      <c r="A894" s="74"/>
      <c r="B894" s="74"/>
      <c r="C894" s="74"/>
      <c r="D894" s="74"/>
      <c r="E894" s="74"/>
    </row>
    <row r="895">
      <c r="A895" s="74"/>
      <c r="B895" s="74"/>
      <c r="C895" s="74"/>
      <c r="D895" s="74"/>
      <c r="E895" s="74"/>
    </row>
    <row r="896">
      <c r="A896" s="74"/>
      <c r="B896" s="74"/>
      <c r="C896" s="74"/>
      <c r="D896" s="74"/>
      <c r="E896" s="74"/>
    </row>
    <row r="897">
      <c r="A897" s="74"/>
      <c r="B897" s="74"/>
      <c r="C897" s="74"/>
      <c r="D897" s="74"/>
      <c r="E897" s="74"/>
    </row>
    <row r="898">
      <c r="A898" s="74"/>
      <c r="B898" s="74"/>
      <c r="C898" s="74"/>
      <c r="D898" s="74"/>
      <c r="E898" s="74"/>
    </row>
    <row r="899">
      <c r="A899" s="74"/>
      <c r="B899" s="74"/>
      <c r="C899" s="74"/>
      <c r="D899" s="74"/>
      <c r="E899" s="74"/>
    </row>
    <row r="900">
      <c r="A900" s="74"/>
      <c r="B900" s="74"/>
      <c r="C900" s="74"/>
      <c r="D900" s="74"/>
      <c r="E900" s="74"/>
    </row>
    <row r="901">
      <c r="A901" s="74"/>
      <c r="B901" s="74"/>
      <c r="C901" s="74"/>
      <c r="D901" s="74"/>
      <c r="E901" s="74"/>
    </row>
    <row r="902">
      <c r="A902" s="74"/>
      <c r="B902" s="74"/>
      <c r="C902" s="74"/>
      <c r="D902" s="74"/>
      <c r="E902" s="74"/>
    </row>
    <row r="903">
      <c r="A903" s="74"/>
      <c r="B903" s="74"/>
      <c r="C903" s="74"/>
      <c r="D903" s="74"/>
      <c r="E903" s="74"/>
    </row>
    <row r="904">
      <c r="A904" s="74"/>
      <c r="B904" s="74"/>
      <c r="C904" s="74"/>
      <c r="D904" s="74"/>
      <c r="E904" s="74"/>
    </row>
    <row r="905">
      <c r="A905" s="74"/>
      <c r="B905" s="74"/>
      <c r="C905" s="74"/>
      <c r="D905" s="74"/>
      <c r="E905" s="74"/>
    </row>
    <row r="906">
      <c r="A906" s="74"/>
      <c r="B906" s="74"/>
      <c r="C906" s="74"/>
      <c r="D906" s="74"/>
      <c r="E906" s="74"/>
    </row>
    <row r="907">
      <c r="A907" s="74"/>
      <c r="B907" s="74"/>
      <c r="C907" s="74"/>
      <c r="D907" s="74"/>
      <c r="E907" s="74"/>
    </row>
    <row r="908">
      <c r="A908" s="74"/>
      <c r="B908" s="74"/>
      <c r="C908" s="74"/>
      <c r="D908" s="74"/>
      <c r="E908" s="74"/>
    </row>
    <row r="909">
      <c r="A909" s="74"/>
      <c r="B909" s="74"/>
      <c r="C909" s="74"/>
      <c r="D909" s="74"/>
      <c r="E909" s="74"/>
    </row>
    <row r="910">
      <c r="A910" s="74"/>
      <c r="B910" s="74"/>
      <c r="C910" s="74"/>
      <c r="D910" s="74"/>
      <c r="E910" s="74"/>
    </row>
    <row r="911">
      <c r="A911" s="74"/>
      <c r="B911" s="74"/>
      <c r="C911" s="74"/>
      <c r="D911" s="74"/>
      <c r="E911" s="74"/>
    </row>
    <row r="912">
      <c r="A912" s="74"/>
      <c r="B912" s="74"/>
      <c r="C912" s="74"/>
      <c r="D912" s="74"/>
      <c r="E912" s="74"/>
    </row>
    <row r="913">
      <c r="A913" s="74"/>
      <c r="B913" s="74"/>
      <c r="C913" s="74"/>
      <c r="D913" s="74"/>
      <c r="E913" s="74"/>
    </row>
    <row r="914">
      <c r="A914" s="74"/>
      <c r="B914" s="74"/>
      <c r="C914" s="74"/>
      <c r="D914" s="74"/>
      <c r="E914" s="74"/>
    </row>
    <row r="915">
      <c r="A915" s="74"/>
      <c r="B915" s="74"/>
      <c r="C915" s="74"/>
      <c r="D915" s="74"/>
      <c r="E915" s="74"/>
    </row>
    <row r="916">
      <c r="A916" s="74"/>
      <c r="B916" s="74"/>
      <c r="C916" s="74"/>
      <c r="D916" s="74"/>
      <c r="E916" s="74"/>
    </row>
    <row r="917">
      <c r="A917" s="74"/>
      <c r="B917" s="74"/>
      <c r="C917" s="74"/>
      <c r="D917" s="74"/>
      <c r="E917" s="74"/>
    </row>
    <row r="918">
      <c r="A918" s="74"/>
      <c r="B918" s="74"/>
      <c r="C918" s="74"/>
      <c r="D918" s="74"/>
      <c r="E918" s="74"/>
    </row>
    <row r="919">
      <c r="A919" s="74"/>
      <c r="B919" s="74"/>
      <c r="C919" s="74"/>
      <c r="D919" s="74"/>
      <c r="E919" s="74"/>
    </row>
    <row r="920">
      <c r="A920" s="74"/>
      <c r="B920" s="74"/>
      <c r="C920" s="74"/>
      <c r="D920" s="74"/>
      <c r="E920" s="74"/>
    </row>
    <row r="921">
      <c r="A921" s="74"/>
      <c r="B921" s="74"/>
      <c r="C921" s="74"/>
      <c r="D921" s="74"/>
      <c r="E921" s="74"/>
    </row>
    <row r="922">
      <c r="A922" s="74"/>
      <c r="B922" s="74"/>
      <c r="C922" s="74"/>
      <c r="D922" s="74"/>
      <c r="E922" s="74"/>
    </row>
    <row r="923">
      <c r="A923" s="74"/>
      <c r="B923" s="74"/>
      <c r="C923" s="74"/>
      <c r="D923" s="74"/>
      <c r="E923" s="74"/>
    </row>
    <row r="924">
      <c r="A924" s="74"/>
      <c r="B924" s="74"/>
      <c r="C924" s="74"/>
      <c r="D924" s="74"/>
      <c r="E924" s="74"/>
    </row>
    <row r="925">
      <c r="A925" s="74"/>
      <c r="B925" s="74"/>
      <c r="C925" s="74"/>
      <c r="D925" s="74"/>
      <c r="E925" s="74"/>
    </row>
    <row r="926">
      <c r="A926" s="74"/>
      <c r="B926" s="74"/>
      <c r="C926" s="74"/>
      <c r="D926" s="74"/>
      <c r="E926" s="74"/>
    </row>
    <row r="927">
      <c r="A927" s="74"/>
      <c r="B927" s="74"/>
      <c r="C927" s="74"/>
      <c r="D927" s="74"/>
      <c r="E927" s="74"/>
    </row>
    <row r="928">
      <c r="A928" s="74"/>
      <c r="B928" s="74"/>
      <c r="C928" s="74"/>
      <c r="D928" s="74"/>
      <c r="E928" s="74"/>
    </row>
    <row r="929">
      <c r="A929" s="74"/>
      <c r="B929" s="74"/>
      <c r="C929" s="74"/>
      <c r="D929" s="74"/>
      <c r="E929" s="74"/>
    </row>
    <row r="930">
      <c r="A930" s="74"/>
      <c r="B930" s="74"/>
      <c r="C930" s="74"/>
      <c r="D930" s="74"/>
      <c r="E930" s="74"/>
    </row>
    <row r="931">
      <c r="A931" s="74"/>
      <c r="B931" s="74"/>
      <c r="C931" s="74"/>
      <c r="D931" s="74"/>
      <c r="E931" s="74"/>
    </row>
    <row r="932">
      <c r="A932" s="74"/>
      <c r="B932" s="74"/>
      <c r="C932" s="74"/>
      <c r="D932" s="74"/>
      <c r="E932" s="74"/>
    </row>
    <row r="933">
      <c r="A933" s="74"/>
      <c r="B933" s="74"/>
      <c r="C933" s="74"/>
      <c r="D933" s="74"/>
      <c r="E933" s="74"/>
    </row>
    <row r="934">
      <c r="A934" s="74"/>
      <c r="B934" s="74"/>
      <c r="C934" s="74"/>
      <c r="D934" s="74"/>
      <c r="E934" s="74"/>
    </row>
    <row r="935">
      <c r="A935" s="74"/>
      <c r="B935" s="74"/>
      <c r="C935" s="74"/>
      <c r="D935" s="74"/>
      <c r="E935" s="74"/>
    </row>
    <row r="936">
      <c r="A936" s="74"/>
      <c r="B936" s="74"/>
      <c r="C936" s="74"/>
      <c r="D936" s="74"/>
      <c r="E936" s="74"/>
    </row>
    <row r="937">
      <c r="A937" s="74"/>
      <c r="B937" s="74"/>
      <c r="C937" s="74"/>
      <c r="D937" s="74"/>
      <c r="E937" s="74"/>
    </row>
    <row r="938">
      <c r="A938" s="74"/>
      <c r="B938" s="74"/>
      <c r="C938" s="74"/>
      <c r="D938" s="74"/>
      <c r="E938" s="74"/>
    </row>
    <row r="939">
      <c r="A939" s="74"/>
      <c r="B939" s="74"/>
      <c r="C939" s="74"/>
      <c r="D939" s="74"/>
      <c r="E939" s="74"/>
    </row>
    <row r="940">
      <c r="A940" s="74"/>
      <c r="B940" s="74"/>
      <c r="C940" s="74"/>
      <c r="D940" s="74"/>
      <c r="E940" s="74"/>
    </row>
    <row r="941">
      <c r="A941" s="74"/>
      <c r="B941" s="74"/>
      <c r="C941" s="74"/>
      <c r="D941" s="74"/>
      <c r="E941" s="74"/>
    </row>
    <row r="942">
      <c r="A942" s="74"/>
      <c r="B942" s="74"/>
      <c r="C942" s="74"/>
      <c r="D942" s="74"/>
      <c r="E942" s="74"/>
    </row>
    <row r="943">
      <c r="A943" s="74"/>
      <c r="B943" s="74"/>
      <c r="C943" s="74"/>
      <c r="D943" s="74"/>
      <c r="E943" s="74"/>
    </row>
    <row r="944">
      <c r="A944" s="74"/>
      <c r="B944" s="74"/>
      <c r="C944" s="74"/>
      <c r="D944" s="74"/>
      <c r="E944" s="74"/>
    </row>
    <row r="945">
      <c r="A945" s="74"/>
      <c r="B945" s="74"/>
      <c r="C945" s="74"/>
      <c r="D945" s="74"/>
      <c r="E945" s="74"/>
    </row>
    <row r="946">
      <c r="A946" s="74"/>
      <c r="B946" s="74"/>
      <c r="C946" s="74"/>
      <c r="D946" s="74"/>
      <c r="E946" s="74"/>
    </row>
    <row r="947">
      <c r="A947" s="74"/>
      <c r="B947" s="74"/>
      <c r="C947" s="74"/>
      <c r="D947" s="74"/>
      <c r="E947" s="74"/>
    </row>
    <row r="948">
      <c r="A948" s="74"/>
      <c r="B948" s="74"/>
      <c r="C948" s="74"/>
      <c r="D948" s="74"/>
      <c r="E948" s="74"/>
    </row>
    <row r="949">
      <c r="A949" s="74"/>
      <c r="B949" s="74"/>
      <c r="C949" s="74"/>
      <c r="D949" s="74"/>
      <c r="E949" s="74"/>
    </row>
    <row r="950">
      <c r="A950" s="74"/>
      <c r="B950" s="74"/>
      <c r="C950" s="74"/>
      <c r="D950" s="74"/>
      <c r="E950" s="74"/>
    </row>
    <row r="951">
      <c r="A951" s="74"/>
      <c r="B951" s="74"/>
      <c r="C951" s="74"/>
      <c r="D951" s="74"/>
      <c r="E951" s="74"/>
    </row>
    <row r="952">
      <c r="A952" s="74"/>
      <c r="B952" s="74"/>
      <c r="C952" s="74"/>
      <c r="D952" s="74"/>
      <c r="E952" s="74"/>
    </row>
    <row r="953">
      <c r="A953" s="74"/>
      <c r="B953" s="74"/>
      <c r="C953" s="74"/>
      <c r="D953" s="74"/>
      <c r="E953" s="74"/>
    </row>
    <row r="954">
      <c r="A954" s="74"/>
      <c r="B954" s="74"/>
      <c r="C954" s="74"/>
      <c r="D954" s="74"/>
      <c r="E954" s="74"/>
    </row>
    <row r="955">
      <c r="A955" s="74"/>
      <c r="B955" s="74"/>
      <c r="C955" s="74"/>
      <c r="D955" s="74"/>
      <c r="E955" s="74"/>
    </row>
    <row r="956">
      <c r="A956" s="74"/>
      <c r="B956" s="74"/>
      <c r="C956" s="74"/>
      <c r="D956" s="74"/>
      <c r="E956" s="74"/>
    </row>
    <row r="957">
      <c r="A957" s="74"/>
      <c r="B957" s="74"/>
      <c r="C957" s="74"/>
      <c r="D957" s="74"/>
      <c r="E957" s="74"/>
    </row>
    <row r="958">
      <c r="A958" s="74"/>
      <c r="B958" s="74"/>
      <c r="C958" s="74"/>
      <c r="D958" s="74"/>
      <c r="E958" s="74"/>
    </row>
    <row r="959">
      <c r="A959" s="74"/>
      <c r="B959" s="74"/>
      <c r="C959" s="74"/>
      <c r="D959" s="74"/>
      <c r="E959" s="74"/>
    </row>
    <row r="960">
      <c r="A960" s="74"/>
      <c r="B960" s="74"/>
      <c r="C960" s="74"/>
      <c r="D960" s="74"/>
      <c r="E960" s="74"/>
    </row>
    <row r="961">
      <c r="A961" s="74"/>
      <c r="B961" s="74"/>
      <c r="C961" s="74"/>
      <c r="D961" s="74"/>
      <c r="E961" s="74"/>
    </row>
    <row r="962">
      <c r="A962" s="74"/>
      <c r="B962" s="74"/>
      <c r="C962" s="74"/>
      <c r="D962" s="74"/>
      <c r="E962" s="74"/>
    </row>
    <row r="963">
      <c r="A963" s="74"/>
      <c r="B963" s="74"/>
      <c r="C963" s="74"/>
      <c r="D963" s="74"/>
      <c r="E963" s="74"/>
    </row>
    <row r="964">
      <c r="A964" s="74"/>
      <c r="B964" s="74"/>
      <c r="C964" s="74"/>
      <c r="D964" s="74"/>
      <c r="E964" s="74"/>
    </row>
    <row r="965">
      <c r="A965" s="74"/>
      <c r="B965" s="74"/>
      <c r="C965" s="74"/>
      <c r="D965" s="74"/>
      <c r="E965" s="74"/>
    </row>
    <row r="966">
      <c r="A966" s="74"/>
      <c r="B966" s="74"/>
      <c r="C966" s="74"/>
      <c r="D966" s="74"/>
      <c r="E966" s="74"/>
    </row>
    <row r="967">
      <c r="A967" s="74"/>
      <c r="B967" s="74"/>
      <c r="C967" s="74"/>
      <c r="D967" s="74"/>
      <c r="E967" s="74"/>
    </row>
    <row r="968">
      <c r="A968" s="74"/>
      <c r="B968" s="74"/>
      <c r="C968" s="74"/>
      <c r="D968" s="74"/>
      <c r="E968" s="74"/>
    </row>
    <row r="969">
      <c r="A969" s="74"/>
      <c r="B969" s="74"/>
      <c r="C969" s="74"/>
      <c r="D969" s="74"/>
      <c r="E969" s="74"/>
    </row>
    <row r="970">
      <c r="A970" s="74"/>
      <c r="B970" s="74"/>
      <c r="C970" s="74"/>
      <c r="D970" s="74"/>
      <c r="E970" s="74"/>
    </row>
    <row r="971">
      <c r="A971" s="74"/>
      <c r="B971" s="74"/>
      <c r="C971" s="74"/>
      <c r="D971" s="74"/>
      <c r="E971" s="74"/>
    </row>
    <row r="972">
      <c r="A972" s="74"/>
      <c r="B972" s="74"/>
      <c r="C972" s="74"/>
      <c r="D972" s="74"/>
      <c r="E972" s="74"/>
    </row>
    <row r="973">
      <c r="A973" s="74"/>
      <c r="B973" s="74"/>
      <c r="C973" s="74"/>
      <c r="D973" s="74"/>
      <c r="E973" s="74"/>
    </row>
    <row r="974">
      <c r="A974" s="74"/>
      <c r="B974" s="74"/>
      <c r="C974" s="74"/>
      <c r="D974" s="74"/>
      <c r="E974" s="74"/>
    </row>
    <row r="975">
      <c r="A975" s="74"/>
      <c r="B975" s="74"/>
      <c r="C975" s="74"/>
      <c r="D975" s="74"/>
      <c r="E975" s="74"/>
    </row>
    <row r="976">
      <c r="A976" s="74"/>
      <c r="B976" s="74"/>
      <c r="C976" s="74"/>
      <c r="D976" s="74"/>
      <c r="E976" s="74"/>
    </row>
    <row r="977">
      <c r="A977" s="74"/>
      <c r="B977" s="74"/>
      <c r="C977" s="74"/>
      <c r="D977" s="74"/>
      <c r="E977" s="74"/>
    </row>
    <row r="978">
      <c r="A978" s="74"/>
      <c r="B978" s="74"/>
      <c r="C978" s="74"/>
      <c r="D978" s="74"/>
      <c r="E978" s="74"/>
    </row>
    <row r="979">
      <c r="A979" s="74"/>
      <c r="B979" s="74"/>
      <c r="C979" s="74"/>
      <c r="D979" s="74"/>
      <c r="E979" s="74"/>
    </row>
    <row r="980">
      <c r="A980" s="74"/>
      <c r="B980" s="74"/>
      <c r="C980" s="74"/>
      <c r="D980" s="74"/>
      <c r="E980" s="74"/>
    </row>
    <row r="981">
      <c r="A981" s="74"/>
      <c r="B981" s="74"/>
      <c r="C981" s="74"/>
      <c r="D981" s="74"/>
      <c r="E981" s="74"/>
    </row>
    <row r="982">
      <c r="A982" s="74"/>
      <c r="B982" s="74"/>
      <c r="C982" s="74"/>
      <c r="D982" s="74"/>
      <c r="E982" s="74"/>
    </row>
    <row r="983">
      <c r="A983" s="74"/>
      <c r="B983" s="74"/>
      <c r="C983" s="74"/>
      <c r="D983" s="74"/>
      <c r="E983" s="74"/>
    </row>
    <row r="984">
      <c r="A984" s="74"/>
      <c r="B984" s="74"/>
      <c r="C984" s="74"/>
      <c r="D984" s="74"/>
      <c r="E984" s="74"/>
    </row>
    <row r="985">
      <c r="A985" s="74"/>
      <c r="B985" s="74"/>
      <c r="C985" s="74"/>
      <c r="D985" s="74"/>
      <c r="E985" s="74"/>
    </row>
    <row r="986">
      <c r="A986" s="74"/>
      <c r="B986" s="74"/>
      <c r="C986" s="74"/>
      <c r="D986" s="74"/>
      <c r="E986" s="74"/>
    </row>
    <row r="987">
      <c r="A987" s="74"/>
      <c r="B987" s="74"/>
      <c r="C987" s="74"/>
      <c r="D987" s="74"/>
      <c r="E987" s="74"/>
    </row>
    <row r="988">
      <c r="A988" s="74"/>
      <c r="B988" s="74"/>
      <c r="C988" s="74"/>
      <c r="D988" s="74"/>
      <c r="E988" s="74"/>
    </row>
    <row r="989">
      <c r="A989" s="74"/>
      <c r="B989" s="74"/>
      <c r="C989" s="74"/>
      <c r="D989" s="74"/>
      <c r="E989" s="74"/>
    </row>
    <row r="990">
      <c r="A990" s="74"/>
      <c r="B990" s="74"/>
      <c r="C990" s="74"/>
      <c r="D990" s="74"/>
      <c r="E990" s="74"/>
    </row>
    <row r="991">
      <c r="A991" s="74"/>
      <c r="B991" s="74"/>
      <c r="C991" s="74"/>
      <c r="D991" s="74"/>
      <c r="E991" s="74"/>
    </row>
    <row r="992">
      <c r="A992" s="74"/>
      <c r="B992" s="74"/>
      <c r="C992" s="74"/>
      <c r="D992" s="74"/>
      <c r="E992" s="74"/>
    </row>
    <row r="993">
      <c r="A993" s="74"/>
      <c r="B993" s="74"/>
      <c r="C993" s="74"/>
      <c r="D993" s="74"/>
      <c r="E993" s="74"/>
    </row>
    <row r="994">
      <c r="A994" s="74"/>
      <c r="B994" s="74"/>
      <c r="C994" s="74"/>
      <c r="D994" s="74"/>
      <c r="E994" s="74"/>
    </row>
    <row r="995">
      <c r="A995" s="74"/>
      <c r="B995" s="74"/>
      <c r="C995" s="74"/>
      <c r="D995" s="74"/>
      <c r="E995" s="74"/>
    </row>
    <row r="996">
      <c r="A996" s="74"/>
      <c r="B996" s="74"/>
      <c r="C996" s="74"/>
      <c r="D996" s="74"/>
      <c r="E996" s="74"/>
    </row>
    <row r="997">
      <c r="A997" s="74"/>
      <c r="B997" s="74"/>
      <c r="C997" s="74"/>
      <c r="D997" s="74"/>
      <c r="E997" s="74"/>
    </row>
    <row r="998">
      <c r="A998" s="74"/>
      <c r="B998" s="74"/>
      <c r="C998" s="74"/>
      <c r="D998" s="74"/>
      <c r="E998" s="74"/>
    </row>
    <row r="999">
      <c r="A999" s="74"/>
      <c r="B999" s="74"/>
      <c r="C999" s="74"/>
      <c r="D999" s="74"/>
      <c r="E999" s="74"/>
    </row>
    <row r="1000">
      <c r="A1000" s="74"/>
      <c r="B1000" s="74"/>
      <c r="C1000" s="74"/>
      <c r="D1000" s="74"/>
      <c r="E1000" s="74"/>
    </row>
    <row r="1001">
      <c r="A1001" s="74"/>
      <c r="B1001" s="74"/>
      <c r="C1001" s="74"/>
      <c r="D1001" s="74"/>
      <c r="E1001" s="74"/>
    </row>
    <row r="1002">
      <c r="A1002" s="74"/>
      <c r="B1002" s="74"/>
      <c r="C1002" s="74"/>
      <c r="D1002" s="74"/>
      <c r="E1002" s="74"/>
    </row>
  </sheetData>
  <mergeCells count="14">
    <mergeCell ref="C8:C9"/>
    <mergeCell ref="C17:C18"/>
    <mergeCell ref="B18:B19"/>
    <mergeCell ref="D20:E23"/>
    <mergeCell ref="A24:A29"/>
    <mergeCell ref="A30:A36"/>
    <mergeCell ref="B41:C42"/>
    <mergeCell ref="A1:C1"/>
    <mergeCell ref="D2:E2"/>
    <mergeCell ref="A4:A10"/>
    <mergeCell ref="B8:B9"/>
    <mergeCell ref="D8:D9"/>
    <mergeCell ref="A11:A16"/>
    <mergeCell ref="A17:A23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